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Trip #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Start Location</t>
        </is>
      </c>
      <c r="F1" s="1" t="inlineStr">
        <is>
          <t>End Location</t>
        </is>
      </c>
      <c r="G1" s="1" t="inlineStr">
        <is>
          <t>Distance (km)</t>
        </is>
      </c>
      <c r="H1" s="1" t="inlineStr">
        <is>
          <t>Max Speed (km/h)</t>
        </is>
      </c>
      <c r="I1" s="1" t="inlineStr">
        <is>
          <t>Avg Speed (km/h)</t>
        </is>
      </c>
    </row>
    <row collapsed="false" customFormat="false" customHeight="false" hidden="false" ht="12.1" outlineLevel="0" r="2">
      <c r="A2" s="1" t="inlineStr">
        <is>
          <t>Device:</t>
        </is>
      </c>
      <c r="B2" s="1" t="inlineStr">
        <is>
          <t>JX:0174 (FS)</t>
        </is>
      </c>
      <c r="C2" s="1"/>
      <c r="D2" s="1"/>
      <c r="E2" s="1"/>
      <c r="F2" s="1"/>
      <c r="G2" s="1"/>
      <c r="H2" s="1"/>
      <c r="I2" s="1"/>
    </row>
    <row collapsed="false" customFormat="false" customHeight="false" hidden="false" ht="12.1" outlineLevel="0" r="3">
      <c r="A3" s="1" t="inlineStr">
        <is>
          <t>Period:</t>
        </is>
      </c>
      <c r="B3" s="1" t="inlineStr">
        <is>
          <t>Dec 10 - Dec 10, 2025</t>
        </is>
      </c>
      <c r="C3" s="1"/>
      <c r="D3" s="1"/>
      <c r="E3" s="1"/>
      <c r="F3" s="1"/>
      <c r="G3" s="1"/>
      <c r="H3" s="1"/>
      <c r="I3" s="1"/>
    </row>
    <row collapsed="false" customFormat="false" customHeight="false" hidden="false" ht="12.1" outlineLevel="0" r="4">
      <c r="A4" s="1" t="inlineStr">
        <is>
          <t>Total Trips:</t>
        </is>
      </c>
      <c r="B4" s="1" t="inlineStr">
        <is>
          <t>10</t>
        </is>
      </c>
      <c r="C4" s="1"/>
      <c r="D4" s="1"/>
      <c r="E4" s="1"/>
      <c r="F4" s="1"/>
      <c r="G4" s="1"/>
      <c r="H4" s="1"/>
      <c r="I4" s="1"/>
    </row>
    <row collapsed="false" customFormat="false" customHeight="false" hidden="false" ht="12.1" outlineLevel="0" r="5">
      <c r="A5" s="1"/>
      <c r="B5" s="1"/>
      <c r="C5" s="1"/>
      <c r="D5" s="1"/>
      <c r="E5" s="1"/>
      <c r="F5" s="1"/>
      <c r="G5" s="1"/>
      <c r="H5" s="1"/>
      <c r="I5" s="1"/>
    </row>
    <row collapsed="false" customFormat="false" customHeight="false" hidden="false" ht="12.1" outlineLevel="0" r="6">
      <c r="A6" s="1" t="inlineStr">
        <is>
          <t>1</t>
        </is>
      </c>
      <c r="B6" s="1" t="inlineStr">
        <is>
          <t>2025-12-10 10:06:29</t>
        </is>
      </c>
      <c r="C6" s="1" t="inlineStr">
        <is>
          <t>2025-12-10 10:06:29</t>
        </is>
      </c>
      <c r="D6" s="1" t="inlineStr">
        <is>
          <t>0m</t>
        </is>
      </c>
      <c r="E6" s="1" t="s">
        <f>=HYPERLINK("https://www.google.com/maps?q=31.535957,74.278417", "31.535957, 74.278417")</f>
      </c>
      <c r="F6" s="1" t="s">
        <f>=HYPERLINK("https://www.google.com/maps?q=31.535957,74.278417", "31.535957, 74.278417")</f>
      </c>
      <c r="G6" s="1" t="inlineStr">
        <is>
          <t>0</t>
        </is>
      </c>
      <c r="H6" s="1" t="inlineStr">
        <is>
          <t>8</t>
        </is>
      </c>
      <c r="I6" s="1" t="inlineStr">
        <is>
          <t>8</t>
        </is>
      </c>
    </row>
    <row collapsed="false" customFormat="false" customHeight="false" hidden="false" ht="12.1" outlineLevel="0" r="7">
      <c r="A7" s="1" t="inlineStr">
        <is>
          <t>2</t>
        </is>
      </c>
      <c r="B7" s="1" t="inlineStr">
        <is>
          <t>2025-12-10 11:55:17</t>
        </is>
      </c>
      <c r="C7" s="1" t="inlineStr">
        <is>
          <t>2025-12-10 11:55:23</t>
        </is>
      </c>
      <c r="D7" s="1" t="inlineStr">
        <is>
          <t>0m</t>
        </is>
      </c>
      <c r="E7" s="1" t="s">
        <f>=HYPERLINK("https://www.google.com/maps?q=31.534725,74.278125", "31.534725, 74.278125")</f>
      </c>
      <c r="F7" s="1" t="s">
        <f>=HYPERLINK("https://www.google.com/maps?q=31.534798,74.278205", "31.534798, 74.278205")</f>
      </c>
      <c r="G7" s="1" t="inlineStr">
        <is>
          <t>0.01</t>
        </is>
      </c>
      <c r="H7" s="1" t="inlineStr">
        <is>
          <t>7</t>
        </is>
      </c>
      <c r="I7" s="1" t="inlineStr">
        <is>
          <t>6.3</t>
        </is>
      </c>
    </row>
    <row collapsed="false" customFormat="false" customHeight="false" hidden="false" ht="12.1" outlineLevel="0" r="8">
      <c r="A8" s="1" t="inlineStr">
        <is>
          <t>3</t>
        </is>
      </c>
      <c r="B8" s="1" t="inlineStr">
        <is>
          <t>2025-12-10 12:01:23</t>
        </is>
      </c>
      <c r="C8" s="1" t="inlineStr">
        <is>
          <t>2025-12-10 12:04:23</t>
        </is>
      </c>
      <c r="D8" s="1" t="inlineStr">
        <is>
          <t>3m</t>
        </is>
      </c>
      <c r="E8" s="1" t="s">
        <f>=HYPERLINK("https://www.google.com/maps?q=31.535802,74.276518", "31.535802, 74.276518")</f>
      </c>
      <c r="F8" s="1" t="s">
        <f>=HYPERLINK("https://www.google.com/maps?q=31.538500,74.265362", "31.538500, 74.265362")</f>
      </c>
      <c r="G8" s="1" t="inlineStr">
        <is>
          <t>1.1</t>
        </is>
      </c>
      <c r="H8" s="1" t="inlineStr">
        <is>
          <t>26</t>
        </is>
      </c>
      <c r="I8" s="1" t="inlineStr">
        <is>
          <t>22.8</t>
        </is>
      </c>
    </row>
    <row collapsed="false" customFormat="false" customHeight="false" hidden="false" ht="12.1" outlineLevel="0" r="9">
      <c r="A9" s="1" t="inlineStr">
        <is>
          <t>4</t>
        </is>
      </c>
      <c r="B9" s="1" t="inlineStr">
        <is>
          <t>2025-12-10 12:06:23</t>
        </is>
      </c>
      <c r="C9" s="1" t="inlineStr">
        <is>
          <t>2025-12-10 12:14:23</t>
        </is>
      </c>
      <c r="D9" s="1" t="inlineStr">
        <is>
          <t>8m</t>
        </is>
      </c>
      <c r="E9" s="1" t="s">
        <f>=HYPERLINK("https://www.google.com/maps?q=31.532513,74.260968", "31.532513, 74.260968")</f>
      </c>
      <c r="F9" s="1" t="s">
        <f>=HYPERLINK("https://www.google.com/maps?q=31.467602,74.228265", "31.467602, 74.228265")</f>
      </c>
      <c r="G9" s="1" t="inlineStr">
        <is>
          <t>8.03</t>
        </is>
      </c>
      <c r="H9" s="1" t="inlineStr">
        <is>
          <t>62</t>
        </is>
      </c>
      <c r="I9" s="1" t="inlineStr">
        <is>
          <t>57</t>
        </is>
      </c>
    </row>
    <row collapsed="false" customFormat="false" customHeight="false" hidden="false" ht="12.1" outlineLevel="0" r="10">
      <c r="A10" s="1" t="inlineStr">
        <is>
          <t>5</t>
        </is>
      </c>
      <c r="B10" s="1" t="inlineStr">
        <is>
          <t>2025-12-10 12:17:23</t>
        </is>
      </c>
      <c r="C10" s="1" t="inlineStr">
        <is>
          <t>2025-12-10 12:53:23</t>
        </is>
      </c>
      <c r="D10" s="1" t="inlineStr">
        <is>
          <t>36m</t>
        </is>
      </c>
      <c r="E10" s="1" t="s">
        <f>=HYPERLINK("https://www.google.com/maps?q=31.462992,74.230537", "31.462992, 74.230537")</f>
      </c>
      <c r="F10" s="1" t="s">
        <f>=HYPERLINK("https://www.google.com/maps?q=31.293638,74.164533", "31.293638, 74.164533")</f>
      </c>
      <c r="G10" s="1" t="inlineStr">
        <is>
          <t>25.14</t>
        </is>
      </c>
      <c r="H10" s="1" t="inlineStr">
        <is>
          <t>60</t>
        </is>
      </c>
      <c r="I10" s="1" t="inlineStr">
        <is>
          <t>38.9</t>
        </is>
      </c>
    </row>
    <row collapsed="false" customFormat="false" customHeight="false" hidden="false" ht="12.1" outlineLevel="0" r="11">
      <c r="A11" s="1" t="inlineStr">
        <is>
          <t>6</t>
        </is>
      </c>
      <c r="B11" s="1" t="inlineStr">
        <is>
          <t>2025-12-10 14:11:30</t>
        </is>
      </c>
      <c r="C11" s="1" t="inlineStr">
        <is>
          <t>2025-12-10 14:26:23</t>
        </is>
      </c>
      <c r="D11" s="1" t="inlineStr">
        <is>
          <t>14m</t>
        </is>
      </c>
      <c r="E11" s="1" t="s">
        <f>=HYPERLINK("https://www.google.com/maps?q=31.295287,74.163603", "31.295287, 74.163603")</f>
      </c>
      <c r="F11" s="1" t="s">
        <f>=HYPERLINK("https://www.google.com/maps?q=31.350888,74.128822", "31.350888, 74.128822")</f>
      </c>
      <c r="G11" s="1" t="inlineStr">
        <is>
          <t>7.85</t>
        </is>
      </c>
      <c r="H11" s="1" t="inlineStr">
        <is>
          <t>51</t>
        </is>
      </c>
      <c r="I11" s="1" t="inlineStr">
        <is>
          <t>33.1</t>
        </is>
      </c>
    </row>
    <row collapsed="false" customFormat="false" customHeight="false" hidden="false" ht="12.1" outlineLevel="0" r="12">
      <c r="A12" s="1" t="inlineStr">
        <is>
          <t>7</t>
        </is>
      </c>
      <c r="B12" s="1" t="inlineStr">
        <is>
          <t>2025-12-10 14:27:23</t>
        </is>
      </c>
      <c r="C12" s="1" t="inlineStr">
        <is>
          <t>2025-12-10 14:27:23</t>
        </is>
      </c>
      <c r="D12" s="1" t="inlineStr">
        <is>
          <t>0m</t>
        </is>
      </c>
      <c r="E12" s="1" t="s">
        <f>=HYPERLINK("https://www.google.com/maps?q=31.353087,74.127177", "31.353087, 74.127177")</f>
      </c>
      <c r="F12" s="1" t="s">
        <f>=HYPERLINK("https://www.google.com/maps?q=31.353087,74.127177", "31.353087, 74.127177")</f>
      </c>
      <c r="G12" s="1" t="inlineStr">
        <is>
          <t>0</t>
        </is>
      </c>
      <c r="H12" s="1" t="inlineStr">
        <is>
          <t>11</t>
        </is>
      </c>
      <c r="I12" s="1" t="inlineStr">
        <is>
          <t>11</t>
        </is>
      </c>
    </row>
    <row collapsed="false" customFormat="false" customHeight="false" hidden="false" ht="12.1" outlineLevel="0" r="13">
      <c r="A13" s="1" t="inlineStr">
        <is>
          <t>8</t>
        </is>
      </c>
      <c r="B13" s="1" t="inlineStr">
        <is>
          <t>2025-12-10 14:28:42</t>
        </is>
      </c>
      <c r="C13" s="1" t="inlineStr">
        <is>
          <t>2025-12-10 15:02:24</t>
        </is>
      </c>
      <c r="D13" s="1" t="inlineStr">
        <is>
          <t>33m</t>
        </is>
      </c>
      <c r="E13" s="1" t="s">
        <f>=HYPERLINK("https://www.google.com/maps?q=31.349435,74.124700", "31.349435, 74.124700")</f>
      </c>
      <c r="F13" s="1" t="s">
        <f>=HYPERLINK("https://www.google.com/maps?q=31.537553,74.270417", "31.537553, 74.270417")</f>
      </c>
      <c r="G13" s="1" t="inlineStr">
        <is>
          <t>26.95</t>
        </is>
      </c>
      <c r="H13" s="1" t="inlineStr">
        <is>
          <t>61</t>
        </is>
      </c>
      <c r="I13" s="1" t="inlineStr">
        <is>
          <t>45.8</t>
        </is>
      </c>
    </row>
    <row collapsed="false" customFormat="false" customHeight="false" hidden="false" ht="12.1" outlineLevel="0" r="14">
      <c r="A14" s="1" t="inlineStr">
        <is>
          <t>9</t>
        </is>
      </c>
      <c r="B14" s="1" t="inlineStr">
        <is>
          <t>2025-12-10 15:05:24</t>
        </is>
      </c>
      <c r="C14" s="1" t="inlineStr">
        <is>
          <t>2025-12-10 15:06:24</t>
        </is>
      </c>
      <c r="D14" s="1" t="inlineStr">
        <is>
          <t>1m</t>
        </is>
      </c>
      <c r="E14" s="1" t="s">
        <f>=HYPERLINK("https://www.google.com/maps?q=31.536688,74.274493", "31.536688, 74.274493")</f>
      </c>
      <c r="F14" s="1" t="s">
        <f>=HYPERLINK("https://www.google.com/maps?q=31.535578,74.277973", "31.535578, 74.277973")</f>
      </c>
      <c r="G14" s="1" t="inlineStr">
        <is>
          <t>0.35</t>
        </is>
      </c>
      <c r="H14" s="1" t="inlineStr">
        <is>
          <t>21</t>
        </is>
      </c>
      <c r="I14" s="1" t="inlineStr">
        <is>
          <t>16.5</t>
        </is>
      </c>
    </row>
    <row collapsed="false" customFormat="false" customHeight="false" hidden="false" ht="12.1" outlineLevel="0" r="15">
      <c r="A15" s="1" t="inlineStr">
        <is>
          <t>10</t>
        </is>
      </c>
      <c r="B15" s="1" t="inlineStr">
        <is>
          <t>2025-12-10 16:40:04</t>
        </is>
      </c>
      <c r="C15" s="1" t="inlineStr">
        <is>
          <t>2025-12-10 16:40:08</t>
        </is>
      </c>
      <c r="D15" s="1" t="inlineStr">
        <is>
          <t>0m</t>
        </is>
      </c>
      <c r="E15" s="1" t="s">
        <f>=HYPERLINK("https://www.google.com/maps?q=31.536010,74.278355", "31.536010, 74.278355")</f>
      </c>
      <c r="F15" s="1" t="s">
        <f>=HYPERLINK("https://www.google.com/maps?q=31.535902,74.278270", "31.535902, 74.278270")</f>
      </c>
      <c r="G15" s="1" t="inlineStr">
        <is>
          <t>0.01</t>
        </is>
      </c>
      <c r="H15" s="1" t="inlineStr">
        <is>
          <t>9</t>
        </is>
      </c>
      <c r="I15" s="1" t="inlineStr">
        <is>
          <t>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2025-12-10T19:36:14.00Z</dcterms:created>
  <dc:title/>
  <dc:subject/>
  <dc:creator/>
  <dc:description/>
  <cp:revision>0</cp:revision>
</cp:coreProperties>
</file>