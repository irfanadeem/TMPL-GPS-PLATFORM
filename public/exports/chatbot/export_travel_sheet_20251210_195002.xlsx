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Trip #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</t>
        </is>
      </c>
      <c r="E1" s="1" t="inlineStr">
        <is>
          <t>Start Location</t>
        </is>
      </c>
      <c r="F1" s="1" t="inlineStr">
        <is>
          <t>End Location</t>
        </is>
      </c>
      <c r="G1" s="1" t="inlineStr">
        <is>
          <t>Distance (km)</t>
        </is>
      </c>
      <c r="H1" s="1" t="inlineStr">
        <is>
          <t>Max Speed (km/h)</t>
        </is>
      </c>
      <c r="I1" s="1" t="inlineStr">
        <is>
          <t>Avg Speed (km/h)</t>
        </is>
      </c>
    </row>
    <row collapsed="false" customFormat="false" customHeight="false" hidden="false" ht="12.1" outlineLevel="0" r="2">
      <c r="A2" s="1" t="inlineStr">
        <is>
          <t>Device:</t>
        </is>
      </c>
      <c r="B2" s="1" t="inlineStr">
        <is>
          <t>JX:0174 (FS)</t>
        </is>
      </c>
      <c r="C2" s="1"/>
      <c r="D2" s="1"/>
      <c r="E2" s="1"/>
      <c r="F2" s="1"/>
      <c r="G2" s="1"/>
      <c r="H2" s="1"/>
      <c r="I2" s="1"/>
    </row>
    <row collapsed="false" customFormat="false" customHeight="false" hidden="false" ht="12.1" outlineLevel="0" r="3">
      <c r="A3" s="1" t="inlineStr">
        <is>
          <t>Period:</t>
        </is>
      </c>
      <c r="B3" s="1" t="inlineStr">
        <is>
          <t>Dec 10 - Dec 10, 2025</t>
        </is>
      </c>
      <c r="C3" s="1"/>
      <c r="D3" s="1"/>
      <c r="E3" s="1"/>
      <c r="F3" s="1"/>
      <c r="G3" s="1"/>
      <c r="H3" s="1"/>
      <c r="I3" s="1"/>
    </row>
    <row collapsed="false" customFormat="false" customHeight="false" hidden="false" ht="12.1" outlineLevel="0" r="4">
      <c r="A4" s="1" t="inlineStr">
        <is>
          <t>Total Trips:</t>
        </is>
      </c>
      <c r="B4" s="1" t="inlineStr">
        <is>
          <t>43</t>
        </is>
      </c>
      <c r="C4" s="1"/>
      <c r="D4" s="1"/>
      <c r="E4" s="1"/>
      <c r="F4" s="1"/>
      <c r="G4" s="1"/>
      <c r="H4" s="1"/>
      <c r="I4" s="1"/>
    </row>
    <row collapsed="false" customFormat="false" customHeight="false" hidden="false" ht="12.1" outlineLevel="0" r="5">
      <c r="A5" s="1"/>
      <c r="B5" s="1"/>
      <c r="C5" s="1"/>
      <c r="D5" s="1"/>
      <c r="E5" s="1"/>
      <c r="F5" s="1"/>
      <c r="G5" s="1"/>
      <c r="H5" s="1"/>
      <c r="I5" s="1"/>
    </row>
    <row collapsed="false" customFormat="false" customHeight="false" hidden="false" ht="12.1" outlineLevel="0" r="6">
      <c r="A6" s="1" t="inlineStr">
        <is>
          <t>1</t>
        </is>
      </c>
      <c r="B6" s="1" t="inlineStr">
        <is>
          <t>2025-12-09 06:15:02</t>
        </is>
      </c>
      <c r="C6" s="1" t="inlineStr">
        <is>
          <t>2025-12-09 06:16:28</t>
        </is>
      </c>
      <c r="D6" s="1" t="inlineStr">
        <is>
          <t>1m</t>
        </is>
      </c>
      <c r="E6" s="1" t="s">
        <f>=HYPERLINK("https://www.google.com/maps?q=31.535250,74.278288", "31.535250, 74.278288")</f>
      </c>
      <c r="F6" s="1" t="s">
        <f>=HYPERLINK("https://www.google.com/maps?q=31.537125,74.271770", "31.537125, 74.271770")</f>
      </c>
      <c r="G6" s="1" t="inlineStr">
        <is>
          <t>0.65</t>
        </is>
      </c>
      <c r="H6" s="1" t="inlineStr">
        <is>
          <t>29</t>
        </is>
      </c>
      <c r="I6" s="1" t="inlineStr">
        <is>
          <t>18</t>
        </is>
      </c>
    </row>
    <row collapsed="false" customFormat="false" customHeight="false" hidden="false" ht="12.1" outlineLevel="0" r="7">
      <c r="A7" s="1" t="inlineStr">
        <is>
          <t>2</t>
        </is>
      </c>
      <c r="B7" s="1" t="inlineStr">
        <is>
          <t>2025-12-09 06:26:52</t>
        </is>
      </c>
      <c r="C7" s="1" t="inlineStr">
        <is>
          <t>2025-12-09 06:27:28</t>
        </is>
      </c>
      <c r="D7" s="1" t="inlineStr">
        <is>
          <t>0m</t>
        </is>
      </c>
      <c r="E7" s="1" t="s">
        <f>=HYPERLINK("https://www.google.com/maps?q=31.537592,74.269443", "31.537592, 74.269443")</f>
      </c>
      <c r="F7" s="1" t="s">
        <f>=HYPERLINK("https://www.google.com/maps?q=31.538138,74.267187", "31.538138, 74.267187")</f>
      </c>
      <c r="G7" s="1" t="inlineStr">
        <is>
          <t>0.22</t>
        </is>
      </c>
      <c r="H7" s="1" t="inlineStr">
        <is>
          <t>24</t>
        </is>
      </c>
      <c r="I7" s="1" t="inlineStr">
        <is>
          <t>16</t>
        </is>
      </c>
    </row>
    <row collapsed="false" customFormat="false" customHeight="false" hidden="false" ht="12.1" outlineLevel="0" r="8">
      <c r="A8" s="1" t="inlineStr">
        <is>
          <t>3</t>
        </is>
      </c>
      <c r="B8" s="1" t="inlineStr">
        <is>
          <t>2025-12-09 06:29:28</t>
        </is>
      </c>
      <c r="C8" s="1" t="inlineStr">
        <is>
          <t>2025-12-09 06:32:28</t>
        </is>
      </c>
      <c r="D8" s="1" t="inlineStr">
        <is>
          <t>3m</t>
        </is>
      </c>
      <c r="E8" s="1" t="s">
        <f>=HYPERLINK("https://www.google.com/maps?q=31.538232,74.260623", "31.538232, 74.260623")</f>
      </c>
      <c r="F8" s="1" t="s">
        <f>=HYPERLINK("https://www.google.com/maps?q=31.548002,74.252632", "31.548002, 74.252632")</f>
      </c>
      <c r="G8" s="1" t="inlineStr">
        <is>
          <t>1.37</t>
        </is>
      </c>
      <c r="H8" s="1" t="inlineStr">
        <is>
          <t>44</t>
        </is>
      </c>
      <c r="I8" s="1" t="inlineStr">
        <is>
          <t>27</t>
        </is>
      </c>
    </row>
    <row collapsed="false" customFormat="false" customHeight="false" hidden="false" ht="12.1" outlineLevel="0" r="9">
      <c r="A9" s="1" t="inlineStr">
        <is>
          <t>4</t>
        </is>
      </c>
      <c r="B9" s="1" t="inlineStr">
        <is>
          <t>2025-12-09 06:34:28</t>
        </is>
      </c>
      <c r="C9" s="1" t="inlineStr">
        <is>
          <t>2025-12-09 06:36:28</t>
        </is>
      </c>
      <c r="D9" s="1" t="inlineStr">
        <is>
          <t>2m</t>
        </is>
      </c>
      <c r="E9" s="1" t="s">
        <f>=HYPERLINK("https://www.google.com/maps?q=31.549197,74.251480", "31.549197, 74.251480")</f>
      </c>
      <c r="F9" s="1" t="s">
        <f>=HYPERLINK("https://www.google.com/maps?q=31.556342,74.242005", "31.556342, 74.242005")</f>
      </c>
      <c r="G9" s="1" t="inlineStr">
        <is>
          <t>1.2</t>
        </is>
      </c>
      <c r="H9" s="1" t="inlineStr">
        <is>
          <t>38</t>
        </is>
      </c>
      <c r="I9" s="1" t="inlineStr">
        <is>
          <t>31.3</t>
        </is>
      </c>
    </row>
    <row collapsed="false" customFormat="false" customHeight="false" hidden="false" ht="12.1" outlineLevel="0" r="10">
      <c r="A10" s="1" t="inlineStr">
        <is>
          <t>5</t>
        </is>
      </c>
      <c r="B10" s="1" t="inlineStr">
        <is>
          <t>2025-12-09 06:39:28</t>
        </is>
      </c>
      <c r="C10" s="1" t="inlineStr">
        <is>
          <t>2025-12-09 06:44:28</t>
        </is>
      </c>
      <c r="D10" s="1" t="inlineStr">
        <is>
          <t>5m</t>
        </is>
      </c>
      <c r="E10" s="1" t="s">
        <f>=HYPERLINK("https://www.google.com/maps?q=31.559855,74.238417", "31.559855, 74.238417")</f>
      </c>
      <c r="F10" s="1" t="s">
        <f>=HYPERLINK("https://www.google.com/maps?q=31.589132,74.220117", "31.589132, 74.220117")</f>
      </c>
      <c r="G10" s="1" t="inlineStr">
        <is>
          <t>3.69</t>
        </is>
      </c>
      <c r="H10" s="1" t="inlineStr">
        <is>
          <t>48</t>
        </is>
      </c>
      <c r="I10" s="1" t="inlineStr">
        <is>
          <t>42.8</t>
        </is>
      </c>
    </row>
    <row collapsed="false" customFormat="false" customHeight="false" hidden="false" ht="12.1" outlineLevel="0" r="11">
      <c r="A11" s="1" t="inlineStr">
        <is>
          <t>6</t>
        </is>
      </c>
      <c r="B11" s="1" t="inlineStr">
        <is>
          <t>2025-12-09 06:46:28</t>
        </is>
      </c>
      <c r="C11" s="1" t="inlineStr">
        <is>
          <t>2025-12-09 07:26:28</t>
        </is>
      </c>
      <c r="D11" s="1" t="inlineStr">
        <is>
          <t>40m</t>
        </is>
      </c>
      <c r="E11" s="1" t="s">
        <f>=HYPERLINK("https://www.google.com/maps?q=31.590247,74.219470", "31.590247, 74.219470")</f>
      </c>
      <c r="F11" s="1" t="s">
        <f>=HYPERLINK("https://www.google.com/maps?q=31.811845,74.252872", "31.811845, 74.252872")</f>
      </c>
      <c r="G11" s="1" t="inlineStr">
        <is>
          <t>30.07</t>
        </is>
      </c>
      <c r="H11" s="1" t="inlineStr">
        <is>
          <t>50</t>
        </is>
      </c>
      <c r="I11" s="1" t="inlineStr">
        <is>
          <t>44.5</t>
        </is>
      </c>
    </row>
    <row collapsed="false" customFormat="false" customHeight="false" hidden="false" ht="12.1" outlineLevel="0" r="12">
      <c r="A12" s="1" t="inlineStr">
        <is>
          <t>7</t>
        </is>
      </c>
      <c r="B12" s="1" t="inlineStr">
        <is>
          <t>2025-12-09 07:29:28</t>
        </is>
      </c>
      <c r="C12" s="1" t="inlineStr">
        <is>
          <t>2025-12-09 07:33:28</t>
        </is>
      </c>
      <c r="D12" s="1" t="inlineStr">
        <is>
          <t>4m</t>
        </is>
      </c>
      <c r="E12" s="1" t="s">
        <f>=HYPERLINK("https://www.google.com/maps?q=31.815820,74.252212", "31.815820, 74.252212")</f>
      </c>
      <c r="F12" s="1" t="s">
        <f>=HYPERLINK("https://www.google.com/maps?q=31.839730,74.248382", "31.839730, 74.248382")</f>
      </c>
      <c r="G12" s="1" t="inlineStr">
        <is>
          <t>2.68</t>
        </is>
      </c>
      <c r="H12" s="1" t="inlineStr">
        <is>
          <t>46</t>
        </is>
      </c>
      <c r="I12" s="1" t="inlineStr">
        <is>
          <t>36.6</t>
        </is>
      </c>
    </row>
    <row collapsed="false" customFormat="false" customHeight="false" hidden="false" ht="12.1" outlineLevel="0" r="13">
      <c r="A13" s="1" t="inlineStr">
        <is>
          <t>8</t>
        </is>
      </c>
      <c r="B13" s="1" t="inlineStr">
        <is>
          <t>2025-12-09 08:01:26</t>
        </is>
      </c>
      <c r="C13" s="1" t="inlineStr">
        <is>
          <t>2025-12-09 08:20:26</t>
        </is>
      </c>
      <c r="D13" s="1" t="inlineStr">
        <is>
          <t>19m</t>
        </is>
      </c>
      <c r="E13" s="1" t="s">
        <f>=HYPERLINK("https://www.google.com/maps?q=31.841365,74.248082", "31.841365, 74.248082")</f>
      </c>
      <c r="F13" s="1" t="s">
        <f>=HYPERLINK("https://www.google.com/maps?q=31.967607,74.223680", "31.967607, 74.223680")</f>
      </c>
      <c r="G13" s="1" t="inlineStr">
        <is>
          <t>14.23</t>
        </is>
      </c>
      <c r="H13" s="1" t="inlineStr">
        <is>
          <t>49</t>
        </is>
      </c>
      <c r="I13" s="1" t="inlineStr">
        <is>
          <t>39.9</t>
        </is>
      </c>
    </row>
    <row collapsed="false" customFormat="false" customHeight="false" hidden="false" ht="12.1" outlineLevel="0" r="14">
      <c r="A14" s="1" t="inlineStr">
        <is>
          <t>9</t>
        </is>
      </c>
      <c r="B14" s="1" t="inlineStr">
        <is>
          <t>2025-12-09 08:22:26</t>
        </is>
      </c>
      <c r="C14" s="1" t="inlineStr">
        <is>
          <t>2025-12-09 08:27:26</t>
        </is>
      </c>
      <c r="D14" s="1" t="inlineStr">
        <is>
          <t>5m</t>
        </is>
      </c>
      <c r="E14" s="1" t="s">
        <f>=HYPERLINK("https://www.google.com/maps?q=31.975873,74.222113", "31.975873, 74.222113")</f>
      </c>
      <c r="F14" s="1" t="s">
        <f>=HYPERLINK("https://www.google.com/maps?q=32.006993,74.216215", "32.006993, 74.216215")</f>
      </c>
      <c r="G14" s="1" t="inlineStr">
        <is>
          <t>3.5</t>
        </is>
      </c>
      <c r="H14" s="1" t="inlineStr">
        <is>
          <t>49</t>
        </is>
      </c>
      <c r="I14" s="1" t="inlineStr">
        <is>
          <t>42.5</t>
        </is>
      </c>
    </row>
    <row collapsed="false" customFormat="false" customHeight="false" hidden="false" ht="12.1" outlineLevel="0" r="15">
      <c r="A15" s="1" t="inlineStr">
        <is>
          <t>10</t>
        </is>
      </c>
      <c r="B15" s="1" t="inlineStr">
        <is>
          <t>2025-12-09 08:29:26</t>
        </is>
      </c>
      <c r="C15" s="1" t="inlineStr">
        <is>
          <t>2025-12-09 08:35:26</t>
        </is>
      </c>
      <c r="D15" s="1" t="inlineStr">
        <is>
          <t>6m</t>
        </is>
      </c>
      <c r="E15" s="1" t="s">
        <f>=HYPERLINK("https://www.google.com/maps?q=32.012835,74.215197", "32.012835, 74.215197")</f>
      </c>
      <c r="F15" s="1" t="s">
        <f>=HYPERLINK("https://www.google.com/maps?q=32.053153,74.208050", "32.053153, 74.208050")</f>
      </c>
      <c r="G15" s="1" t="inlineStr">
        <is>
          <t>4.53</t>
        </is>
      </c>
      <c r="H15" s="1" t="inlineStr">
        <is>
          <t>48</t>
        </is>
      </c>
      <c r="I15" s="1" t="inlineStr">
        <is>
          <t>38.4</t>
        </is>
      </c>
    </row>
    <row collapsed="false" customFormat="false" customHeight="false" hidden="false" ht="12.1" outlineLevel="0" r="16">
      <c r="A16" s="1" t="inlineStr">
        <is>
          <t>11</t>
        </is>
      </c>
      <c r="B16" s="1" t="inlineStr">
        <is>
          <t>2025-12-09 08:41:01</t>
        </is>
      </c>
      <c r="C16" s="1" t="inlineStr">
        <is>
          <t>2025-12-09 09:09:26</t>
        </is>
      </c>
      <c r="D16" s="1" t="inlineStr">
        <is>
          <t>28m</t>
        </is>
      </c>
      <c r="E16" s="1" t="s">
        <f>=HYPERLINK("https://www.google.com/maps?q=32.053837,74.207912", "32.053837, 74.207912")</f>
      </c>
      <c r="F16" s="1" t="s">
        <f>=HYPERLINK("https://www.google.com/maps?q=32.196277,74.162688", "32.196277, 74.162688")</f>
      </c>
      <c r="G16" s="1" t="inlineStr">
        <is>
          <t>18.46</t>
        </is>
      </c>
      <c r="H16" s="1" t="inlineStr">
        <is>
          <t>50</t>
        </is>
      </c>
      <c r="I16" s="1" t="inlineStr">
        <is>
          <t>38.2</t>
        </is>
      </c>
    </row>
    <row collapsed="false" customFormat="false" customHeight="false" hidden="false" ht="12.1" outlineLevel="0" r="17">
      <c r="A17" s="1" t="inlineStr">
        <is>
          <t>12</t>
        </is>
      </c>
      <c r="B17" s="1" t="inlineStr">
        <is>
          <t>2025-12-09 09:11:26</t>
        </is>
      </c>
      <c r="C17" s="1" t="inlineStr">
        <is>
          <t>2025-12-09 09:34:26</t>
        </is>
      </c>
      <c r="D17" s="1" t="inlineStr">
        <is>
          <t>23m</t>
        </is>
      </c>
      <c r="E17" s="1" t="s">
        <f>=HYPERLINK("https://www.google.com/maps?q=32.201588,74.169600", "32.201588, 74.169600")</f>
      </c>
      <c r="F17" s="1" t="s">
        <f>=HYPERLINK("https://www.google.com/maps?q=32.344312,74.136882", "32.344312, 74.136882")</f>
      </c>
      <c r="G17" s="1" t="inlineStr">
        <is>
          <t>16.64</t>
        </is>
      </c>
      <c r="H17" s="1" t="inlineStr">
        <is>
          <t>49</t>
        </is>
      </c>
      <c r="I17" s="1" t="inlineStr">
        <is>
          <t>43.3</t>
        </is>
      </c>
    </row>
    <row collapsed="false" customFormat="false" customHeight="false" hidden="false" ht="12.1" outlineLevel="0" r="18">
      <c r="A18" s="1" t="inlineStr">
        <is>
          <t>13</t>
        </is>
      </c>
      <c r="B18" s="1" t="inlineStr">
        <is>
          <t>2025-12-09 09:40:09</t>
        </is>
      </c>
      <c r="C18" s="1" t="inlineStr">
        <is>
          <t>2025-12-09 10:01:26</t>
        </is>
      </c>
      <c r="D18" s="1" t="inlineStr">
        <is>
          <t>21m</t>
        </is>
      </c>
      <c r="E18" s="1" t="s">
        <f>=HYPERLINK("https://www.google.com/maps?q=32.346877,74.136247", "32.346877, 74.136247")</f>
      </c>
      <c r="F18" s="1" t="s">
        <f>=HYPERLINK("https://www.google.com/maps?q=32.478218,74.091593", "32.478218, 74.091593")</f>
      </c>
      <c r="G18" s="1" t="inlineStr">
        <is>
          <t>16.11</t>
        </is>
      </c>
      <c r="H18" s="1" t="inlineStr">
        <is>
          <t>49</t>
        </is>
      </c>
      <c r="I18" s="1" t="inlineStr">
        <is>
          <t>42.1</t>
        </is>
      </c>
    </row>
    <row collapsed="false" customFormat="false" customHeight="false" hidden="false" ht="12.1" outlineLevel="0" r="19">
      <c r="A19" s="1" t="inlineStr">
        <is>
          <t>14</t>
        </is>
      </c>
      <c r="B19" s="1" t="inlineStr">
        <is>
          <t>2025-12-09 10:03:26</t>
        </is>
      </c>
      <c r="C19" s="1" t="inlineStr">
        <is>
          <t>2025-12-09 10:17:26</t>
        </is>
      </c>
      <c r="D19" s="1" t="inlineStr">
        <is>
          <t>14m</t>
        </is>
      </c>
      <c r="E19" s="1" t="s">
        <f>=HYPERLINK("https://www.google.com/maps?q=32.481743,74.090460", "32.481743, 74.090460")</f>
      </c>
      <c r="F19" s="1" t="s">
        <f>=HYPERLINK("https://www.google.com/maps?q=32.558805,74.042975", "32.558805, 74.042975")</f>
      </c>
      <c r="G19" s="1" t="inlineStr">
        <is>
          <t>9.83</t>
        </is>
      </c>
      <c r="H19" s="1" t="inlineStr">
        <is>
          <t>50</t>
        </is>
      </c>
      <c r="I19" s="1" t="inlineStr">
        <is>
          <t>41.2</t>
        </is>
      </c>
    </row>
    <row collapsed="false" customFormat="false" customHeight="false" hidden="false" ht="12.1" outlineLevel="0" r="20">
      <c r="A20" s="1" t="inlineStr">
        <is>
          <t>15</t>
        </is>
      </c>
      <c r="B20" s="1" t="inlineStr">
        <is>
          <t>2025-12-09 10:27:40</t>
        </is>
      </c>
      <c r="C20" s="1" t="inlineStr">
        <is>
          <t>2025-12-09 11:45:27</t>
        </is>
      </c>
      <c r="D20" s="1" t="inlineStr">
        <is>
          <t>1h 17m</t>
        </is>
      </c>
      <c r="E20" s="1" t="s">
        <f>=HYPERLINK("https://www.google.com/maps?q=32.558573,74.042392", "32.558573, 74.042392")</f>
      </c>
      <c r="F20" s="1" t="s">
        <f>=HYPERLINK("https://www.google.com/maps?q=32.472898,73.540035", "32.472898, 73.540035")</f>
      </c>
      <c r="G20" s="1" t="inlineStr">
        <is>
          <t>52.44</t>
        </is>
      </c>
      <c r="H20" s="1" t="inlineStr">
        <is>
          <t>53</t>
        </is>
      </c>
      <c r="I20" s="1" t="inlineStr">
        <is>
          <t>40.4</t>
        </is>
      </c>
    </row>
    <row collapsed="false" customFormat="false" customHeight="false" hidden="false" ht="12.1" outlineLevel="0" r="21">
      <c r="A21" s="1" t="inlineStr">
        <is>
          <t>16</t>
        </is>
      </c>
      <c r="B21" s="1" t="inlineStr">
        <is>
          <t>2025-12-09 11:50:22</t>
        </is>
      </c>
      <c r="C21" s="1" t="inlineStr">
        <is>
          <t>2025-12-09 12:05:22</t>
        </is>
      </c>
      <c r="D21" s="1" t="inlineStr">
        <is>
          <t>15m</t>
        </is>
      </c>
      <c r="E21" s="1" t="s">
        <f>=HYPERLINK("https://www.google.com/maps?q=32.478195,73.535520", "32.478195, 73.535520")</f>
      </c>
      <c r="F21" s="1" t="s">
        <f>=HYPERLINK("https://www.google.com/maps?q=32.547765,73.473865", "32.547765, 73.473865")</f>
      </c>
      <c r="G21" s="1" t="inlineStr">
        <is>
          <t>9.67</t>
        </is>
      </c>
      <c r="H21" s="1" t="inlineStr">
        <is>
          <t>49</t>
        </is>
      </c>
      <c r="I21" s="1" t="inlineStr">
        <is>
          <t>37.9</t>
        </is>
      </c>
    </row>
    <row collapsed="false" customFormat="false" customHeight="false" hidden="false" ht="12.1" outlineLevel="0" r="22">
      <c r="A22" s="1" t="inlineStr">
        <is>
          <t>17</t>
        </is>
      </c>
      <c r="B22" s="1" t="inlineStr">
        <is>
          <t>2025-12-09 12:07:22</t>
        </is>
      </c>
      <c r="C22" s="1" t="inlineStr">
        <is>
          <t>2025-12-09 12:07:22</t>
        </is>
      </c>
      <c r="D22" s="1" t="inlineStr">
        <is>
          <t>0m</t>
        </is>
      </c>
      <c r="E22" s="1" t="s">
        <f>=HYPERLINK("https://www.google.com/maps?q=32.549272,73.472397", "32.549272, 73.472397")</f>
      </c>
      <c r="F22" s="1" t="s">
        <f>=HYPERLINK("https://www.google.com/maps?q=32.549272,73.472397", "32.549272, 73.472397")</f>
      </c>
      <c r="G22" s="1" t="inlineStr">
        <is>
          <t>0</t>
        </is>
      </c>
      <c r="H22" s="1" t="inlineStr">
        <is>
          <t>6</t>
        </is>
      </c>
      <c r="I22" s="1" t="inlineStr">
        <is>
          <t>6</t>
        </is>
      </c>
    </row>
    <row collapsed="false" customFormat="false" customHeight="false" hidden="false" ht="12.1" outlineLevel="0" r="23">
      <c r="A23" s="1" t="inlineStr">
        <is>
          <t>18</t>
        </is>
      </c>
      <c r="B23" s="1" t="inlineStr">
        <is>
          <t>2025-12-09 12:12:22</t>
        </is>
      </c>
      <c r="C23" s="1" t="inlineStr">
        <is>
          <t>2025-12-09 12:12:22</t>
        </is>
      </c>
      <c r="D23" s="1" t="inlineStr">
        <is>
          <t>0m</t>
        </is>
      </c>
      <c r="E23" s="1" t="s">
        <f>=HYPERLINK("https://www.google.com/maps?q=32.553365,73.470745", "32.553365, 73.470745")</f>
      </c>
      <c r="F23" s="1" t="s">
        <f>=HYPERLINK("https://www.google.com/maps?q=32.553365,73.470745", "32.553365, 73.470745")</f>
      </c>
      <c r="G23" s="1" t="inlineStr">
        <is>
          <t>0</t>
        </is>
      </c>
      <c r="H23" s="1" t="inlineStr">
        <is>
          <t>33</t>
        </is>
      </c>
      <c r="I23" s="1" t="inlineStr">
        <is>
          <t>33</t>
        </is>
      </c>
    </row>
    <row collapsed="false" customFormat="false" customHeight="false" hidden="false" ht="12.1" outlineLevel="0" r="24">
      <c r="A24" s="1" t="inlineStr">
        <is>
          <t>19</t>
        </is>
      </c>
      <c r="B24" s="1" t="inlineStr">
        <is>
          <t>2025-12-09 12:15:22</t>
        </is>
      </c>
      <c r="C24" s="1" t="inlineStr">
        <is>
          <t>2025-12-09 12:29:23</t>
        </is>
      </c>
      <c r="D24" s="1" t="inlineStr">
        <is>
          <t>14m</t>
        </is>
      </c>
      <c r="E24" s="1" t="s">
        <f>=HYPERLINK("https://www.google.com/maps?q=32.558013,73.469155", "32.558013, 73.469155")</f>
      </c>
      <c r="F24" s="1" t="s">
        <f>=HYPERLINK("https://www.google.com/maps?q=32.587967,73.494972", "32.587967, 73.494972")</f>
      </c>
      <c r="G24" s="1" t="inlineStr">
        <is>
          <t>6.12</t>
        </is>
      </c>
      <c r="H24" s="1" t="inlineStr">
        <is>
          <t>45</t>
        </is>
      </c>
      <c r="I24" s="1" t="inlineStr">
        <is>
          <t>25.9</t>
        </is>
      </c>
    </row>
    <row collapsed="false" customFormat="false" customHeight="false" hidden="false" ht="12.1" outlineLevel="0" r="25">
      <c r="A25" s="1" t="inlineStr">
        <is>
          <t>20</t>
        </is>
      </c>
      <c r="B25" s="1" t="inlineStr">
        <is>
          <t>2025-12-09 14:01:45</t>
        </is>
      </c>
      <c r="C25" s="1" t="inlineStr">
        <is>
          <t>2025-12-09 14:03:23</t>
        </is>
      </c>
      <c r="D25" s="1" t="inlineStr">
        <is>
          <t>1m</t>
        </is>
      </c>
      <c r="E25" s="1" t="s">
        <f>=HYPERLINK("https://www.google.com/maps?q=32.586662,73.495513", "32.586662, 73.495513")</f>
      </c>
      <c r="F25" s="1" t="s">
        <f>=HYPERLINK("https://www.google.com/maps?q=32.588140,73.496220", "32.588140, 73.496220")</f>
      </c>
      <c r="G25" s="1" t="inlineStr">
        <is>
          <t>0.22</t>
        </is>
      </c>
      <c r="H25" s="1" t="inlineStr">
        <is>
          <t>10</t>
        </is>
      </c>
      <c r="I25" s="1" t="inlineStr">
        <is>
          <t>8.3</t>
        </is>
      </c>
    </row>
    <row collapsed="false" customFormat="false" customHeight="false" hidden="false" ht="12.1" outlineLevel="0" r="26">
      <c r="A26" s="1" t="inlineStr">
        <is>
          <t>21</t>
        </is>
      </c>
      <c r="B26" s="1" t="inlineStr">
        <is>
          <t>2025-12-09 14:05:23</t>
        </is>
      </c>
      <c r="C26" s="1" t="inlineStr">
        <is>
          <t>2025-12-09 14:07:23</t>
        </is>
      </c>
      <c r="D26" s="1" t="inlineStr">
        <is>
          <t>2m</t>
        </is>
      </c>
      <c r="E26" s="1" t="s">
        <f>=HYPERLINK("https://www.google.com/maps?q=32.587947,73.493767", "32.587947, 73.493767")</f>
      </c>
      <c r="F26" s="1" t="s">
        <f>=HYPERLINK("https://www.google.com/maps?q=32.587065,73.489557", "32.587065, 73.489557")</f>
      </c>
      <c r="G26" s="1" t="inlineStr">
        <is>
          <t>0.41</t>
        </is>
      </c>
      <c r="H26" s="1" t="inlineStr">
        <is>
          <t>18</t>
        </is>
      </c>
      <c r="I26" s="1" t="inlineStr">
        <is>
          <t>15.7</t>
        </is>
      </c>
    </row>
    <row collapsed="false" customFormat="false" customHeight="false" hidden="false" ht="12.1" outlineLevel="0" r="27">
      <c r="A27" s="1" t="inlineStr">
        <is>
          <t>22</t>
        </is>
      </c>
      <c r="B27" s="1" t="inlineStr">
        <is>
          <t>2025-12-09 14:08:38</t>
        </is>
      </c>
      <c r="C27" s="1" t="inlineStr">
        <is>
          <t>2025-12-09 14:19:23</t>
        </is>
      </c>
      <c r="D27" s="1" t="inlineStr">
        <is>
          <t>10m</t>
        </is>
      </c>
      <c r="E27" s="1" t="s">
        <f>=HYPERLINK("https://www.google.com/maps?q=32.586583,73.487092", "32.586583, 73.487092")</f>
      </c>
      <c r="F27" s="1" t="s">
        <f>=HYPERLINK("https://www.google.com/maps?q=32.556390,73.469760", "32.556390, 73.469760")</f>
      </c>
      <c r="G27" s="1" t="inlineStr">
        <is>
          <t>5.56</t>
        </is>
      </c>
      <c r="H27" s="1" t="inlineStr">
        <is>
          <t>48</t>
        </is>
      </c>
      <c r="I27" s="1" t="inlineStr">
        <is>
          <t>27.3</t>
        </is>
      </c>
    </row>
    <row collapsed="false" customFormat="false" customHeight="false" hidden="false" ht="12.1" outlineLevel="0" r="28">
      <c r="A28" s="1" t="inlineStr">
        <is>
          <t>23</t>
        </is>
      </c>
      <c r="B28" s="1" t="inlineStr">
        <is>
          <t>2025-12-09 14:20:23</t>
        </is>
      </c>
      <c r="C28" s="1" t="inlineStr">
        <is>
          <t>2025-12-09 14:28:23</t>
        </is>
      </c>
      <c r="D28" s="1" t="inlineStr">
        <is>
          <t>8m</t>
        </is>
      </c>
      <c r="E28" s="1" t="s">
        <f>=HYPERLINK("https://www.google.com/maps?q=32.554918,73.470350", "32.554918, 73.470350")</f>
      </c>
      <c r="F28" s="1" t="s">
        <f>=HYPERLINK("https://www.google.com/maps?q=32.525613,73.444083", "32.525613, 73.444083")</f>
      </c>
      <c r="G28" s="1" t="inlineStr">
        <is>
          <t>4.68</t>
        </is>
      </c>
      <c r="H28" s="1" t="inlineStr">
        <is>
          <t>50</t>
        </is>
      </c>
      <c r="I28" s="1" t="inlineStr">
        <is>
          <t>34.8</t>
        </is>
      </c>
    </row>
    <row collapsed="false" customFormat="false" customHeight="false" hidden="false" ht="12.1" outlineLevel="0" r="29">
      <c r="A29" s="1" t="inlineStr">
        <is>
          <t>24</t>
        </is>
      </c>
      <c r="B29" s="1" t="inlineStr">
        <is>
          <t>2025-12-09 14:29:23</t>
        </is>
      </c>
      <c r="C29" s="1" t="inlineStr">
        <is>
          <t>2025-12-09 15:08:23</t>
        </is>
      </c>
      <c r="D29" s="1" t="inlineStr">
        <is>
          <t>39m</t>
        </is>
      </c>
      <c r="E29" s="1" t="s">
        <f>=HYPERLINK("https://www.google.com/maps?q=32.522222,73.441433", "32.522222, 73.441433")</f>
      </c>
      <c r="F29" s="1" t="s">
        <f>=HYPERLINK("https://www.google.com/maps?q=32.421563,73.281780", "32.421563, 73.281780")</f>
      </c>
      <c r="G29" s="1" t="inlineStr">
        <is>
          <t>21.96</t>
        </is>
      </c>
      <c r="H29" s="1" t="inlineStr">
        <is>
          <t>49</t>
        </is>
      </c>
      <c r="I29" s="1" t="inlineStr">
        <is>
          <t>31.9</t>
        </is>
      </c>
    </row>
    <row collapsed="false" customFormat="false" customHeight="false" hidden="false" ht="12.1" outlineLevel="0" r="30">
      <c r="A30" s="1" t="inlineStr">
        <is>
          <t>25</t>
        </is>
      </c>
      <c r="B30" s="1" t="inlineStr">
        <is>
          <t>2025-12-09 15:38:17</t>
        </is>
      </c>
      <c r="C30" s="1" t="inlineStr">
        <is>
          <t>2025-12-09 15:40:23</t>
        </is>
      </c>
      <c r="D30" s="1" t="inlineStr">
        <is>
          <t>2m</t>
        </is>
      </c>
      <c r="E30" s="1" t="s">
        <f>=HYPERLINK("https://www.google.com/maps?q=32.421755,73.281358", "32.421755, 73.281358")</f>
      </c>
      <c r="F30" s="1" t="s">
        <f>=HYPERLINK("https://www.google.com/maps?q=32.419643,73.276247", "32.419643, 73.276247")</f>
      </c>
      <c r="G30" s="1" t="inlineStr">
        <is>
          <t>0.55</t>
        </is>
      </c>
      <c r="H30" s="1" t="inlineStr">
        <is>
          <t>23</t>
        </is>
      </c>
      <c r="I30" s="1" t="inlineStr">
        <is>
          <t>17.3</t>
        </is>
      </c>
    </row>
    <row collapsed="false" customFormat="false" customHeight="false" hidden="false" ht="12.1" outlineLevel="0" r="31">
      <c r="A31" s="1" t="inlineStr">
        <is>
          <t>26</t>
        </is>
      </c>
      <c r="B31" s="1" t="inlineStr">
        <is>
          <t>2025-12-09 15:41:23</t>
        </is>
      </c>
      <c r="C31" s="1" t="inlineStr">
        <is>
          <t>2025-12-09 15:48:23</t>
        </is>
      </c>
      <c r="D31" s="1" t="inlineStr">
        <is>
          <t>7m</t>
        </is>
      </c>
      <c r="E31" s="1" t="s">
        <f>=HYPERLINK("https://www.google.com/maps?q=32.419647,73.274717", "32.419647, 73.274717")</f>
      </c>
      <c r="F31" s="1" t="s">
        <f>=HYPERLINK("https://www.google.com/maps?q=32.398415,73.270205", "32.398415, 73.270205")</f>
      </c>
      <c r="G31" s="1" t="inlineStr">
        <is>
          <t>3.09</t>
        </is>
      </c>
      <c r="H31" s="1" t="inlineStr">
        <is>
          <t>41</t>
        </is>
      </c>
      <c r="I31" s="1" t="inlineStr">
        <is>
          <t>29.9</t>
        </is>
      </c>
    </row>
    <row collapsed="false" customFormat="false" customHeight="false" hidden="false" ht="12.1" outlineLevel="0" r="32">
      <c r="A32" s="1" t="inlineStr">
        <is>
          <t>27</t>
        </is>
      </c>
      <c r="B32" s="1" t="inlineStr">
        <is>
          <t>2025-12-09 16:26:06</t>
        </is>
      </c>
      <c r="C32" s="1" t="inlineStr">
        <is>
          <t>2025-12-09 17:02:23</t>
        </is>
      </c>
      <c r="D32" s="1" t="inlineStr">
        <is>
          <t>36m</t>
        </is>
      </c>
      <c r="E32" s="1" t="s">
        <f>=HYPERLINK("https://www.google.com/maps?q=32.398362,73.269990", "32.398362, 73.269990")</f>
      </c>
      <c r="F32" s="1" t="s">
        <f>=HYPERLINK("https://www.google.com/maps?q=32.325860,73.029253", "32.325860, 73.029253")</f>
      </c>
      <c r="G32" s="1" t="inlineStr">
        <is>
          <t>26.14</t>
        </is>
      </c>
      <c r="H32" s="1" t="inlineStr">
        <is>
          <t>50</t>
        </is>
      </c>
      <c r="I32" s="1" t="inlineStr">
        <is>
          <t>40.9</t>
        </is>
      </c>
    </row>
    <row collapsed="false" customFormat="false" customHeight="false" hidden="false" ht="12.1" outlineLevel="0" r="33">
      <c r="A33" s="1" t="inlineStr">
        <is>
          <t>28</t>
        </is>
      </c>
      <c r="B33" s="1" t="inlineStr">
        <is>
          <t>2025-12-09 17:04:23</t>
        </is>
      </c>
      <c r="C33" s="1" t="inlineStr">
        <is>
          <t>2025-12-09 17:06:23</t>
        </is>
      </c>
      <c r="D33" s="1" t="inlineStr">
        <is>
          <t>2m</t>
        </is>
      </c>
      <c r="E33" s="1" t="s">
        <f>=HYPERLINK("https://www.google.com/maps?q=32.323517,73.027093", "32.323517, 73.027093")</f>
      </c>
      <c r="F33" s="1" t="s">
        <f>=HYPERLINK("https://www.google.com/maps?q=32.321392,73.022593", "32.321392, 73.022593")</f>
      </c>
      <c r="G33" s="1" t="inlineStr">
        <is>
          <t>0.59</t>
        </is>
      </c>
      <c r="H33" s="1" t="inlineStr">
        <is>
          <t>34</t>
        </is>
      </c>
      <c r="I33" s="1" t="inlineStr">
        <is>
          <t>23</t>
        </is>
      </c>
    </row>
    <row collapsed="false" customFormat="false" customHeight="false" hidden="false" ht="12.1" outlineLevel="0" r="34">
      <c r="A34" s="1" t="inlineStr">
        <is>
          <t>29</t>
        </is>
      </c>
      <c r="B34" s="1" t="inlineStr">
        <is>
          <t>2025-12-09 17:07:38</t>
        </is>
      </c>
      <c r="C34" s="1" t="inlineStr">
        <is>
          <t>2025-12-09 17:59:23</t>
        </is>
      </c>
      <c r="D34" s="1" t="inlineStr">
        <is>
          <t>51m</t>
        </is>
      </c>
      <c r="E34" s="1" t="s">
        <f>=HYPERLINK("https://www.google.com/maps?q=32.321260,73.020758", "32.321260, 73.020758")</f>
      </c>
      <c r="F34" s="1" t="s">
        <f>=HYPERLINK("https://www.google.com/maps?q=31.974137,73.111537", "31.974137, 73.111537")</f>
      </c>
      <c r="G34" s="1" t="inlineStr">
        <is>
          <t>40.24</t>
        </is>
      </c>
      <c r="H34" s="1" t="inlineStr">
        <is>
          <t>53</t>
        </is>
      </c>
      <c r="I34" s="1" t="inlineStr">
        <is>
          <t>45.4</t>
        </is>
      </c>
    </row>
    <row collapsed="false" customFormat="false" customHeight="false" hidden="false" ht="12.1" outlineLevel="0" r="35">
      <c r="A35" s="1" t="inlineStr">
        <is>
          <t>30</t>
        </is>
      </c>
      <c r="B35" s="1" t="inlineStr">
        <is>
          <t>2025-12-09 18:09:45</t>
        </is>
      </c>
      <c r="C35" s="1" t="inlineStr">
        <is>
          <t>2025-12-09 19:40:24</t>
        </is>
      </c>
      <c r="D35" s="1" t="inlineStr">
        <is>
          <t>1h 30m</t>
        </is>
      </c>
      <c r="E35" s="1" t="s">
        <f>=HYPERLINK("https://www.google.com/maps?q=31.970195,73.108992", "31.970195, 73.108992")</f>
      </c>
      <c r="F35" s="1" t="s">
        <f>=HYPERLINK("https://www.google.com/maps?q=31.807917,73.839558", "31.807917, 73.839558")</f>
      </c>
      <c r="G35" s="1" t="inlineStr">
        <is>
          <t>74.43</t>
        </is>
      </c>
      <c r="H35" s="1" t="inlineStr">
        <is>
          <t>55</t>
        </is>
      </c>
      <c r="I35" s="1" t="inlineStr">
        <is>
          <t>48.7</t>
        </is>
      </c>
    </row>
    <row collapsed="false" customFormat="false" customHeight="false" hidden="false" ht="12.1" outlineLevel="0" r="36">
      <c r="A36" s="1" t="inlineStr">
        <is>
          <t>31</t>
        </is>
      </c>
      <c r="B36" s="1" t="inlineStr">
        <is>
          <t>2025-12-09 19:44:24</t>
        </is>
      </c>
      <c r="C36" s="1" t="inlineStr">
        <is>
          <t>2025-12-09 20:48:23</t>
        </is>
      </c>
      <c r="D36" s="1" t="inlineStr">
        <is>
          <t>1h 3m</t>
        </is>
      </c>
      <c r="E36" s="1" t="s">
        <f>=HYPERLINK("https://www.google.com/maps?q=31.806662,73.843048", "31.806662, 73.843048")</f>
      </c>
      <c r="F36" s="1" t="s">
        <f>=HYPERLINK("https://www.google.com/maps?q=31.560117,74.238602", "31.560117, 74.238602")</f>
      </c>
      <c r="G36" s="1" t="inlineStr">
        <is>
          <t>51.04</t>
        </is>
      </c>
      <c r="H36" s="1" t="inlineStr">
        <is>
          <t>54</t>
        </is>
      </c>
      <c r="I36" s="1" t="inlineStr">
        <is>
          <t>47.4</t>
        </is>
      </c>
    </row>
    <row collapsed="false" customFormat="false" customHeight="false" hidden="false" ht="12.1" outlineLevel="0" r="37">
      <c r="A37" s="1" t="inlineStr">
        <is>
          <t>32</t>
        </is>
      </c>
      <c r="B37" s="1" t="inlineStr">
        <is>
          <t>2025-12-09 20:50:23</t>
        </is>
      </c>
      <c r="C37" s="1" t="inlineStr">
        <is>
          <t>2025-12-09 20:55:23</t>
        </is>
      </c>
      <c r="D37" s="1" t="inlineStr">
        <is>
          <t>5m</t>
        </is>
      </c>
      <c r="E37" s="1" t="s">
        <f>=HYPERLINK("https://www.google.com/maps?q=31.553870,74.246030", "31.553870, 74.246030")</f>
      </c>
      <c r="F37" s="1" t="s">
        <f>=HYPERLINK("https://www.google.com/maps?q=31.537623,74.270012", "31.537623, 74.270012")</f>
      </c>
      <c r="G37" s="1" t="inlineStr">
        <is>
          <t>2.97</t>
        </is>
      </c>
      <c r="H37" s="1" t="inlineStr">
        <is>
          <t>55</t>
        </is>
      </c>
      <c r="I37" s="1" t="inlineStr">
        <is>
          <t>36.5</t>
        </is>
      </c>
    </row>
    <row collapsed="false" customFormat="false" customHeight="false" hidden="false" ht="12.1" outlineLevel="0" r="38">
      <c r="A38" s="1" t="inlineStr">
        <is>
          <t>33</t>
        </is>
      </c>
      <c r="B38" s="1" t="inlineStr">
        <is>
          <t>2025-12-09 20:57:23</t>
        </is>
      </c>
      <c r="C38" s="1" t="inlineStr">
        <is>
          <t>2025-12-09 20:59:23</t>
        </is>
      </c>
      <c r="D38" s="1" t="inlineStr">
        <is>
          <t>2m</t>
        </is>
      </c>
      <c r="E38" s="1" t="s">
        <f>=HYPERLINK("https://www.google.com/maps?q=31.536777,74.273815", "31.536777, 74.273815")</f>
      </c>
      <c r="F38" s="1" t="s">
        <f>=HYPERLINK("https://www.google.com/maps?q=31.536015,74.278390", "31.536015, 74.278390")</f>
      </c>
      <c r="G38" s="1" t="inlineStr">
        <is>
          <t>0.45</t>
        </is>
      </c>
      <c r="H38" s="1" t="inlineStr">
        <is>
          <t>27</t>
        </is>
      </c>
      <c r="I38" s="1" t="inlineStr">
        <is>
          <t>15.3</t>
        </is>
      </c>
    </row>
    <row collapsed="false" customFormat="false" customHeight="false" hidden="false" ht="12.1" outlineLevel="0" r="39">
      <c r="A39" s="1" t="inlineStr">
        <is>
          <t>34</t>
        </is>
      </c>
      <c r="B39" s="1" t="inlineStr">
        <is>
          <t>2025-12-10 10:06:29</t>
        </is>
      </c>
      <c r="C39" s="1" t="inlineStr">
        <is>
          <t>2025-12-10 10:06:29</t>
        </is>
      </c>
      <c r="D39" s="1" t="inlineStr">
        <is>
          <t>0m</t>
        </is>
      </c>
      <c r="E39" s="1" t="s">
        <f>=HYPERLINK("https://www.google.com/maps?q=31.535957,74.278417", "31.535957, 74.278417")</f>
      </c>
      <c r="F39" s="1" t="s">
        <f>=HYPERLINK("https://www.google.com/maps?q=31.535957,74.278417", "31.535957, 74.278417")</f>
      </c>
      <c r="G39" s="1" t="inlineStr">
        <is>
          <t>0</t>
        </is>
      </c>
      <c r="H39" s="1" t="inlineStr">
        <is>
          <t>8</t>
        </is>
      </c>
      <c r="I39" s="1" t="inlineStr">
        <is>
          <t>8</t>
        </is>
      </c>
    </row>
    <row collapsed="false" customFormat="false" customHeight="false" hidden="false" ht="12.1" outlineLevel="0" r="40">
      <c r="A40" s="1" t="inlineStr">
        <is>
          <t>35</t>
        </is>
      </c>
      <c r="B40" s="1" t="inlineStr">
        <is>
          <t>2025-12-10 11:55:17</t>
        </is>
      </c>
      <c r="C40" s="1" t="inlineStr">
        <is>
          <t>2025-12-10 11:55:23</t>
        </is>
      </c>
      <c r="D40" s="1" t="inlineStr">
        <is>
          <t>0m</t>
        </is>
      </c>
      <c r="E40" s="1" t="s">
        <f>=HYPERLINK("https://www.google.com/maps?q=31.534725,74.278125", "31.534725, 74.278125")</f>
      </c>
      <c r="F40" s="1" t="s">
        <f>=HYPERLINK("https://www.google.com/maps?q=31.534798,74.278205", "31.534798, 74.278205")</f>
      </c>
      <c r="G40" s="1" t="inlineStr">
        <is>
          <t>0.01</t>
        </is>
      </c>
      <c r="H40" s="1" t="inlineStr">
        <is>
          <t>7</t>
        </is>
      </c>
      <c r="I40" s="1" t="inlineStr">
        <is>
          <t>6.3</t>
        </is>
      </c>
    </row>
    <row collapsed="false" customFormat="false" customHeight="false" hidden="false" ht="12.1" outlineLevel="0" r="41">
      <c r="A41" s="1" t="inlineStr">
        <is>
          <t>36</t>
        </is>
      </c>
      <c r="B41" s="1" t="inlineStr">
        <is>
          <t>2025-12-10 12:01:23</t>
        </is>
      </c>
      <c r="C41" s="1" t="inlineStr">
        <is>
          <t>2025-12-10 12:04:23</t>
        </is>
      </c>
      <c r="D41" s="1" t="inlineStr">
        <is>
          <t>3m</t>
        </is>
      </c>
      <c r="E41" s="1" t="s">
        <f>=HYPERLINK("https://www.google.com/maps?q=31.535802,74.276518", "31.535802, 74.276518")</f>
      </c>
      <c r="F41" s="1" t="s">
        <f>=HYPERLINK("https://www.google.com/maps?q=31.538500,74.265362", "31.538500, 74.265362")</f>
      </c>
      <c r="G41" s="1" t="inlineStr">
        <is>
          <t>1.1</t>
        </is>
      </c>
      <c r="H41" s="1" t="inlineStr">
        <is>
          <t>26</t>
        </is>
      </c>
      <c r="I41" s="1" t="inlineStr">
        <is>
          <t>22.8</t>
        </is>
      </c>
    </row>
    <row collapsed="false" customFormat="false" customHeight="false" hidden="false" ht="12.1" outlineLevel="0" r="42">
      <c r="A42" s="1" t="inlineStr">
        <is>
          <t>37</t>
        </is>
      </c>
      <c r="B42" s="1" t="inlineStr">
        <is>
          <t>2025-12-10 12:06:23</t>
        </is>
      </c>
      <c r="C42" s="1" t="inlineStr">
        <is>
          <t>2025-12-10 12:14:23</t>
        </is>
      </c>
      <c r="D42" s="1" t="inlineStr">
        <is>
          <t>8m</t>
        </is>
      </c>
      <c r="E42" s="1" t="s">
        <f>=HYPERLINK("https://www.google.com/maps?q=31.532513,74.260968", "31.532513, 74.260968")</f>
      </c>
      <c r="F42" s="1" t="s">
        <f>=HYPERLINK("https://www.google.com/maps?q=31.467602,74.228265", "31.467602, 74.228265")</f>
      </c>
      <c r="G42" s="1" t="inlineStr">
        <is>
          <t>8.03</t>
        </is>
      </c>
      <c r="H42" s="1" t="inlineStr">
        <is>
          <t>62</t>
        </is>
      </c>
      <c r="I42" s="1" t="inlineStr">
        <is>
          <t>57</t>
        </is>
      </c>
    </row>
    <row collapsed="false" customFormat="false" customHeight="false" hidden="false" ht="12.1" outlineLevel="0" r="43">
      <c r="A43" s="1" t="inlineStr">
        <is>
          <t>38</t>
        </is>
      </c>
      <c r="B43" s="1" t="inlineStr">
        <is>
          <t>2025-12-10 12:17:23</t>
        </is>
      </c>
      <c r="C43" s="1" t="inlineStr">
        <is>
          <t>2025-12-10 12:53:23</t>
        </is>
      </c>
      <c r="D43" s="1" t="inlineStr">
        <is>
          <t>36m</t>
        </is>
      </c>
      <c r="E43" s="1" t="s">
        <f>=HYPERLINK("https://www.google.com/maps?q=31.462992,74.230537", "31.462992, 74.230537")</f>
      </c>
      <c r="F43" s="1" t="s">
        <f>=HYPERLINK("https://www.google.com/maps?q=31.293638,74.164533", "31.293638, 74.164533")</f>
      </c>
      <c r="G43" s="1" t="inlineStr">
        <is>
          <t>25.14</t>
        </is>
      </c>
      <c r="H43" s="1" t="inlineStr">
        <is>
          <t>60</t>
        </is>
      </c>
      <c r="I43" s="1" t="inlineStr">
        <is>
          <t>38.9</t>
        </is>
      </c>
    </row>
    <row collapsed="false" customFormat="false" customHeight="false" hidden="false" ht="12.1" outlineLevel="0" r="44">
      <c r="A44" s="1" t="inlineStr">
        <is>
          <t>39</t>
        </is>
      </c>
      <c r="B44" s="1" t="inlineStr">
        <is>
          <t>2025-12-10 14:11:30</t>
        </is>
      </c>
      <c r="C44" s="1" t="inlineStr">
        <is>
          <t>2025-12-10 14:26:23</t>
        </is>
      </c>
      <c r="D44" s="1" t="inlineStr">
        <is>
          <t>14m</t>
        </is>
      </c>
      <c r="E44" s="1" t="s">
        <f>=HYPERLINK("https://www.google.com/maps?q=31.295287,74.163603", "31.295287, 74.163603")</f>
      </c>
      <c r="F44" s="1" t="s">
        <f>=HYPERLINK("https://www.google.com/maps?q=31.350888,74.128822", "31.350888, 74.128822")</f>
      </c>
      <c r="G44" s="1" t="inlineStr">
        <is>
          <t>7.85</t>
        </is>
      </c>
      <c r="H44" s="1" t="inlineStr">
        <is>
          <t>51</t>
        </is>
      </c>
      <c r="I44" s="1" t="inlineStr">
        <is>
          <t>33.1</t>
        </is>
      </c>
    </row>
    <row collapsed="false" customFormat="false" customHeight="false" hidden="false" ht="12.1" outlineLevel="0" r="45">
      <c r="A45" s="1" t="inlineStr">
        <is>
          <t>40</t>
        </is>
      </c>
      <c r="B45" s="1" t="inlineStr">
        <is>
          <t>2025-12-10 14:27:23</t>
        </is>
      </c>
      <c r="C45" s="1" t="inlineStr">
        <is>
          <t>2025-12-10 14:27:23</t>
        </is>
      </c>
      <c r="D45" s="1" t="inlineStr">
        <is>
          <t>0m</t>
        </is>
      </c>
      <c r="E45" s="1" t="s">
        <f>=HYPERLINK("https://www.google.com/maps?q=31.353087,74.127177", "31.353087, 74.127177")</f>
      </c>
      <c r="F45" s="1" t="s">
        <f>=HYPERLINK("https://www.google.com/maps?q=31.353087,74.127177", "31.353087, 74.127177")</f>
      </c>
      <c r="G45" s="1" t="inlineStr">
        <is>
          <t>0</t>
        </is>
      </c>
      <c r="H45" s="1" t="inlineStr">
        <is>
          <t>11</t>
        </is>
      </c>
      <c r="I45" s="1" t="inlineStr">
        <is>
          <t>11</t>
        </is>
      </c>
    </row>
    <row collapsed="false" customFormat="false" customHeight="false" hidden="false" ht="12.1" outlineLevel="0" r="46">
      <c r="A46" s="1" t="inlineStr">
        <is>
          <t>41</t>
        </is>
      </c>
      <c r="B46" s="1" t="inlineStr">
        <is>
          <t>2025-12-10 14:28:42</t>
        </is>
      </c>
      <c r="C46" s="1" t="inlineStr">
        <is>
          <t>2025-12-10 15:02:24</t>
        </is>
      </c>
      <c r="D46" s="1" t="inlineStr">
        <is>
          <t>33m</t>
        </is>
      </c>
      <c r="E46" s="1" t="s">
        <f>=HYPERLINK("https://www.google.com/maps?q=31.349435,74.124700", "31.349435, 74.124700")</f>
      </c>
      <c r="F46" s="1" t="s">
        <f>=HYPERLINK("https://www.google.com/maps?q=31.537553,74.270417", "31.537553, 74.270417")</f>
      </c>
      <c r="G46" s="1" t="inlineStr">
        <is>
          <t>26.95</t>
        </is>
      </c>
      <c r="H46" s="1" t="inlineStr">
        <is>
          <t>61</t>
        </is>
      </c>
      <c r="I46" s="1" t="inlineStr">
        <is>
          <t>45.8</t>
        </is>
      </c>
    </row>
    <row collapsed="false" customFormat="false" customHeight="false" hidden="false" ht="12.1" outlineLevel="0" r="47">
      <c r="A47" s="1" t="inlineStr">
        <is>
          <t>42</t>
        </is>
      </c>
      <c r="B47" s="1" t="inlineStr">
        <is>
          <t>2025-12-10 15:05:24</t>
        </is>
      </c>
      <c r="C47" s="1" t="inlineStr">
        <is>
          <t>2025-12-10 15:06:24</t>
        </is>
      </c>
      <c r="D47" s="1" t="inlineStr">
        <is>
          <t>1m</t>
        </is>
      </c>
      <c r="E47" s="1" t="s">
        <f>=HYPERLINK("https://www.google.com/maps?q=31.536688,74.274493", "31.536688, 74.274493")</f>
      </c>
      <c r="F47" s="1" t="s">
        <f>=HYPERLINK("https://www.google.com/maps?q=31.535578,74.277973", "31.535578, 74.277973")</f>
      </c>
      <c r="G47" s="1" t="inlineStr">
        <is>
          <t>0.35</t>
        </is>
      </c>
      <c r="H47" s="1" t="inlineStr">
        <is>
          <t>21</t>
        </is>
      </c>
      <c r="I47" s="1" t="inlineStr">
        <is>
          <t>16.5</t>
        </is>
      </c>
    </row>
    <row collapsed="false" customFormat="false" customHeight="false" hidden="false" ht="12.1" outlineLevel="0" r="48">
      <c r="A48" s="1" t="inlineStr">
        <is>
          <t>43</t>
        </is>
      </c>
      <c r="B48" s="1" t="inlineStr">
        <is>
          <t>2025-12-10 16:40:04</t>
        </is>
      </c>
      <c r="C48" s="1" t="inlineStr">
        <is>
          <t>2025-12-10 16:40:08</t>
        </is>
      </c>
      <c r="D48" s="1" t="inlineStr">
        <is>
          <t>0m</t>
        </is>
      </c>
      <c r="E48" s="1" t="s">
        <f>=HYPERLINK("https://www.google.com/maps?q=31.536010,74.278355", "31.536010, 74.278355")</f>
      </c>
      <c r="F48" s="1" t="s">
        <f>=HYPERLINK("https://www.google.com/maps?q=31.535902,74.278270", "31.535902, 74.278270")</f>
      </c>
      <c r="G48" s="1" t="inlineStr">
        <is>
          <t>0.01</t>
        </is>
      </c>
      <c r="H48" s="1" t="inlineStr">
        <is>
          <t>9</t>
        </is>
      </c>
      <c r="I48" s="1" t="inlineStr">
        <is>
          <t>8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2025-12-10T19:50:03.00Z</dcterms:created>
  <dc:title/>
  <dc:subject/>
  <dc:creator/>
  <dc:description/>
  <cp:revision>0</cp:revision>
</cp:coreProperties>
</file>