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AGL:832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11 - Dec 11,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8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2025-12-11 13:06:47</t>
        </is>
      </c>
      <c r="C6" s="1" t="inlineStr">
        <is>
          <t>2025-12-11 13:19:57</t>
        </is>
      </c>
      <c r="D6" s="1" t="inlineStr">
        <is>
          <t>13m</t>
        </is>
      </c>
      <c r="E6" s="1" t="s">
        <f>=HYPERLINK("https://www.google.com/maps?q=30.642935,72.469768", "30.642935, 72.469768")</f>
      </c>
      <c r="F6" s="1" t="s">
        <f>=HYPERLINK("https://www.google.com/maps?q=30.615437,72.494632", "30.615437, 72.494632")</f>
      </c>
      <c r="G6" s="1" t="inlineStr">
        <is>
          <t>6.68</t>
        </is>
      </c>
      <c r="H6" s="1" t="inlineStr">
        <is>
          <t>53</t>
        </is>
      </c>
      <c r="I6" s="1" t="inlineStr">
        <is>
          <t>27.7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2025-12-11 13:20:11</t>
        </is>
      </c>
      <c r="C7" s="1" t="inlineStr">
        <is>
          <t>2025-12-11 13:20:11</t>
        </is>
      </c>
      <c r="D7" s="1" t="inlineStr">
        <is>
          <t>0m</t>
        </is>
      </c>
      <c r="E7" s="1" t="s">
        <f>=HYPERLINK("https://www.google.com/maps?q=30.615237,72.494642", "30.615237, 72.494642")</f>
      </c>
      <c r="F7" s="1" t="s">
        <f>=HYPERLINK("https://www.google.com/maps?q=30.615237,72.494642", "30.615237, 72.494642")</f>
      </c>
      <c r="G7" s="1" t="inlineStr">
        <is>
          <t>0</t>
        </is>
      </c>
      <c r="H7" s="1" t="inlineStr">
        <is>
          <t>6</t>
        </is>
      </c>
      <c r="I7" s="1" t="inlineStr">
        <is>
          <t>6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2025-12-11 13:36:40</t>
        </is>
      </c>
      <c r="C8" s="1" t="inlineStr">
        <is>
          <t>2025-12-11 13:51:28</t>
        </is>
      </c>
      <c r="D8" s="1" t="inlineStr">
        <is>
          <t>14m</t>
        </is>
      </c>
      <c r="E8" s="1" t="s">
        <f>=HYPERLINK("https://www.google.com/maps?q=30.615167,72.494665", "30.615167, 72.494665")</f>
      </c>
      <c r="F8" s="1" t="s">
        <f>=HYPERLINK("https://www.google.com/maps?q=30.642898,72.469738", "30.642898, 72.469738")</f>
      </c>
      <c r="G8" s="1" t="inlineStr">
        <is>
          <t>6.71</t>
        </is>
      </c>
      <c r="H8" s="1" t="inlineStr">
        <is>
          <t>57</t>
        </is>
      </c>
      <c r="I8" s="1" t="inlineStr">
        <is>
          <t>25.8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2025-12-11 13:51:29</t>
        </is>
      </c>
      <c r="C9" s="1" t="inlineStr">
        <is>
          <t>2025-12-11 13:51:29</t>
        </is>
      </c>
      <c r="D9" s="1" t="inlineStr">
        <is>
          <t>0m</t>
        </is>
      </c>
      <c r="E9" s="1" t="s">
        <f>=HYPERLINK("https://www.google.com/maps?q=30.642885,72.469752", "30.642885, 72.469752")</f>
      </c>
      <c r="F9" s="1" t="s">
        <f>=HYPERLINK("https://www.google.com/maps?q=30.642885,72.469752", "30.642885, 72.469752")</f>
      </c>
      <c r="G9" s="1" t="inlineStr">
        <is>
          <t>0</t>
        </is>
      </c>
      <c r="H9" s="1" t="inlineStr">
        <is>
          <t>6</t>
        </is>
      </c>
      <c r="I9" s="1" t="inlineStr">
        <is>
          <t>6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2025-12-11 14:52:39</t>
        </is>
      </c>
      <c r="C10" s="1" t="inlineStr">
        <is>
          <t>2025-12-11 14:57:01</t>
        </is>
      </c>
      <c r="D10" s="1" t="inlineStr">
        <is>
          <t>4m</t>
        </is>
      </c>
      <c r="E10" s="1" t="s">
        <f>=HYPERLINK("https://www.google.com/maps?q=30.642935,72.469845", "30.642935, 72.469845")</f>
      </c>
      <c r="F10" s="1" t="s">
        <f>=HYPERLINK("https://www.google.com/maps?q=30.653095,72.457313", "30.653095, 72.457313")</f>
      </c>
      <c r="G10" s="1" t="inlineStr">
        <is>
          <t>1.79</t>
        </is>
      </c>
      <c r="H10" s="1" t="inlineStr">
        <is>
          <t>43</t>
        </is>
      </c>
      <c r="I10" s="1" t="inlineStr">
        <is>
          <t>22.2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2025-12-11 14:58:36</t>
        </is>
      </c>
      <c r="C11" s="1" t="inlineStr">
        <is>
          <t>2025-12-11 15:06:50</t>
        </is>
      </c>
      <c r="D11" s="1" t="inlineStr">
        <is>
          <t>8m</t>
        </is>
      </c>
      <c r="E11" s="1" t="s">
        <f>=HYPERLINK("https://www.google.com/maps?q=30.654625,72.456067", "30.654625, 72.456067")</f>
      </c>
      <c r="F11" s="1" t="s">
        <f>=HYPERLINK("https://www.google.com/maps?q=30.688265,72.480123", "30.688265, 72.480123")</f>
      </c>
      <c r="G11" s="1" t="inlineStr">
        <is>
          <t>6.21</t>
        </is>
      </c>
      <c r="H11" s="1" t="inlineStr">
        <is>
          <t>65</t>
        </is>
      </c>
      <c r="I11" s="1" t="inlineStr">
        <is>
          <t>40.3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2025-12-11 15:37:30</t>
        </is>
      </c>
      <c r="C12" s="1" t="inlineStr">
        <is>
          <t>2025-12-11 15:58:51</t>
        </is>
      </c>
      <c r="D12" s="1" t="inlineStr">
        <is>
          <t>21m</t>
        </is>
      </c>
      <c r="E12" s="1" t="s">
        <f>=HYPERLINK("https://www.google.com/maps?q=30.688272,72.480073", "30.688272, 72.480073")</f>
      </c>
      <c r="F12" s="1" t="s">
        <f>=HYPERLINK("https://www.google.com/maps?q=30.793222,72.420685", "30.793222, 72.420685")</f>
      </c>
      <c r="G12" s="1" t="inlineStr">
        <is>
          <t>13.8</t>
        </is>
      </c>
      <c r="H12" s="1" t="inlineStr">
        <is>
          <t>66</t>
        </is>
      </c>
      <c r="I12" s="1" t="inlineStr">
        <is>
          <t>41.7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2025-12-11 16:10:49</t>
        </is>
      </c>
      <c r="C13" s="1" t="inlineStr">
        <is>
          <t>2025-12-11 16:39:32</t>
        </is>
      </c>
      <c r="D13" s="1" t="inlineStr">
        <is>
          <t>28m</t>
        </is>
      </c>
      <c r="E13" s="1" t="s">
        <f>=HYPERLINK("https://www.google.com/maps?q=30.793250,72.420588", "30.793250, 72.420588")</f>
      </c>
      <c r="F13" s="1" t="s">
        <f>=HYPERLINK("https://www.google.com/maps?q=30.926352,72.290250", "30.926352, 72.290250")</f>
      </c>
      <c r="G13" s="1" t="inlineStr">
        <is>
          <t>22.54</t>
        </is>
      </c>
      <c r="H13" s="1" t="inlineStr">
        <is>
          <t>79</t>
        </is>
      </c>
      <c r="I13" s="1" t="inlineStr">
        <is>
          <t>44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2025-12-11T11:40:40.00Z</dcterms:created>
  <dc:title/>
  <dc:subject/>
  <dc:creator/>
  <dc:description/>
  <cp:revision>0</cp:revision>
</cp:coreProperties>
</file>