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Trip #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</t>
        </is>
      </c>
      <c r="E1" s="1" t="inlineStr">
        <is>
          <t>Start Location</t>
        </is>
      </c>
      <c r="F1" s="1" t="inlineStr">
        <is>
          <t>End Location</t>
        </is>
      </c>
      <c r="G1" s="1" t="inlineStr">
        <is>
          <t>Distance (km)</t>
        </is>
      </c>
      <c r="H1" s="1" t="inlineStr">
        <is>
          <t>Max Speed (km/h)</t>
        </is>
      </c>
      <c r="I1" s="1" t="inlineStr">
        <is>
          <t>Avg Speed (km/h)</t>
        </is>
      </c>
    </row>
    <row collapsed="false" customFormat="false" customHeight="false" hidden="false" ht="12.1" outlineLevel="0" r="2">
      <c r="A2" s="1" t="inlineStr">
        <is>
          <t>Device:</t>
        </is>
      </c>
      <c r="B2" s="1" t="inlineStr">
        <is>
          <t>AED:572</t>
        </is>
      </c>
      <c r="C2" s="1"/>
      <c r="D2" s="1"/>
      <c r="E2" s="1"/>
      <c r="F2" s="1"/>
      <c r="G2" s="1"/>
      <c r="H2" s="1"/>
      <c r="I2" s="1"/>
    </row>
    <row collapsed="false" customFormat="false" customHeight="false" hidden="false" ht="12.1" outlineLevel="0" r="3">
      <c r="A3" s="1" t="inlineStr">
        <is>
          <t>Period:</t>
        </is>
      </c>
      <c r="B3" s="1" t="inlineStr">
        <is>
          <t>Dec 11 - Dec 11, 2025</t>
        </is>
      </c>
      <c r="C3" s="1"/>
      <c r="D3" s="1"/>
      <c r="E3" s="1"/>
      <c r="F3" s="1"/>
      <c r="G3" s="1"/>
      <c r="H3" s="1"/>
      <c r="I3" s="1"/>
    </row>
    <row collapsed="false" customFormat="false" customHeight="false" hidden="false" ht="12.1" outlineLevel="0" r="4">
      <c r="A4" s="1" t="inlineStr">
        <is>
          <t>Total Trips:</t>
        </is>
      </c>
      <c r="B4" s="1" t="inlineStr">
        <is>
          <t>18</t>
        </is>
      </c>
      <c r="C4" s="1"/>
      <c r="D4" s="1"/>
      <c r="E4" s="1"/>
      <c r="F4" s="1"/>
      <c r="G4" s="1"/>
      <c r="H4" s="1"/>
      <c r="I4" s="1"/>
    </row>
    <row collapsed="false" customFormat="false" customHeight="false" hidden="false" ht="12.1" outlineLevel="0" r="5">
      <c r="A5" s="1"/>
      <c r="B5" s="1"/>
      <c r="C5" s="1"/>
      <c r="D5" s="1"/>
      <c r="E5" s="1"/>
      <c r="F5" s="1"/>
      <c r="G5" s="1"/>
      <c r="H5" s="1"/>
      <c r="I5" s="1"/>
    </row>
    <row collapsed="false" customFormat="false" customHeight="false" hidden="false" ht="12.1" outlineLevel="0" r="6">
      <c r="A6" s="1" t="inlineStr">
        <is>
          <t>1</t>
        </is>
      </c>
      <c r="B6" s="1" t="inlineStr">
        <is>
          <t>2025-12-11 07:32:02</t>
        </is>
      </c>
      <c r="C6" s="1" t="inlineStr">
        <is>
          <t>2025-12-11 07:59:37</t>
        </is>
      </c>
      <c r="D6" s="1" t="inlineStr">
        <is>
          <t>27m</t>
        </is>
      </c>
      <c r="E6" s="1" t="s">
        <f>=HYPERLINK("https://www.google.com/maps?q=31.677920,74.110623", "31.677920, 74.110623")</f>
      </c>
      <c r="F6" s="1" t="s">
        <f>=HYPERLINK("https://www.google.com/maps?q=31.572370,74.286730", "31.572370, 74.286730")</f>
      </c>
      <c r="G6" s="1" t="inlineStr">
        <is>
          <t>22.9</t>
        </is>
      </c>
      <c r="H6" s="1" t="inlineStr">
        <is>
          <t>78</t>
        </is>
      </c>
      <c r="I6" s="1" t="inlineStr">
        <is>
          <t>52.3</t>
        </is>
      </c>
    </row>
    <row collapsed="false" customFormat="false" customHeight="false" hidden="false" ht="12.1" outlineLevel="0" r="7">
      <c r="A7" s="1" t="inlineStr">
        <is>
          <t>2</t>
        </is>
      </c>
      <c r="B7" s="1" t="inlineStr">
        <is>
          <t>2025-12-11 08:01:37</t>
        </is>
      </c>
      <c r="C7" s="1" t="inlineStr">
        <is>
          <t>2025-12-11 08:06:33</t>
        </is>
      </c>
      <c r="D7" s="1" t="inlineStr">
        <is>
          <t>4m</t>
        </is>
      </c>
      <c r="E7" s="1" t="s">
        <f>=HYPERLINK("https://www.google.com/maps?q=31.572000,74.285327", "31.572000, 74.285327")</f>
      </c>
      <c r="F7" s="1" t="s">
        <f>=HYPERLINK("https://www.google.com/maps?q=31.536447,74.263122", "31.536447, 74.263122")</f>
      </c>
      <c r="G7" s="1" t="inlineStr">
        <is>
          <t>4.6</t>
        </is>
      </c>
      <c r="H7" s="1" t="inlineStr">
        <is>
          <t>98</t>
        </is>
      </c>
      <c r="I7" s="1" t="inlineStr">
        <is>
          <t>63.1</t>
        </is>
      </c>
    </row>
    <row collapsed="false" customFormat="false" customHeight="false" hidden="false" ht="12.1" outlineLevel="0" r="8">
      <c r="A8" s="1" t="inlineStr">
        <is>
          <t>3</t>
        </is>
      </c>
      <c r="B8" s="1" t="inlineStr">
        <is>
          <t>2025-12-11 08:36:24</t>
        </is>
      </c>
      <c r="C8" s="1" t="inlineStr">
        <is>
          <t>2025-12-11 08:36:24</t>
        </is>
      </c>
      <c r="D8" s="1" t="inlineStr">
        <is>
          <t>0m</t>
        </is>
      </c>
      <c r="E8" s="1" t="s">
        <f>=HYPERLINK("https://www.google.com/maps?q=31.536227,74.262978", "31.536227, 74.262978")</f>
      </c>
      <c r="F8" s="1" t="s">
        <f>=HYPERLINK("https://www.google.com/maps?q=31.536227,74.262978", "31.536227, 74.262978")</f>
      </c>
      <c r="G8" s="1" t="inlineStr">
        <is>
          <t>0</t>
        </is>
      </c>
      <c r="H8" s="1" t="inlineStr">
        <is>
          <t>6</t>
        </is>
      </c>
      <c r="I8" s="1" t="inlineStr">
        <is>
          <t>6</t>
        </is>
      </c>
    </row>
    <row collapsed="false" customFormat="false" customHeight="false" hidden="false" ht="12.1" outlineLevel="0" r="9">
      <c r="A9" s="1" t="inlineStr">
        <is>
          <t>4</t>
        </is>
      </c>
      <c r="B9" s="1" t="inlineStr">
        <is>
          <t>2025-12-11 09:09:32</t>
        </is>
      </c>
      <c r="C9" s="1" t="inlineStr">
        <is>
          <t>2025-12-11 09:21:45</t>
        </is>
      </c>
      <c r="D9" s="1" t="inlineStr">
        <is>
          <t>12m</t>
        </is>
      </c>
      <c r="E9" s="1" t="s">
        <f>=HYPERLINK("https://www.google.com/maps?q=31.535707,74.262740", "31.535707, 74.262740")</f>
      </c>
      <c r="F9" s="1" t="s">
        <f>=HYPERLINK("https://www.google.com/maps?q=31.422328,74.229795", "31.422328, 74.229795")</f>
      </c>
      <c r="G9" s="1" t="inlineStr">
        <is>
          <t>14.46</t>
        </is>
      </c>
      <c r="H9" s="1" t="inlineStr">
        <is>
          <t>103</t>
        </is>
      </c>
      <c r="I9" s="1" t="inlineStr">
        <is>
          <t>72.8</t>
        </is>
      </c>
    </row>
    <row collapsed="false" customFormat="false" customHeight="false" hidden="false" ht="12.1" outlineLevel="0" r="10">
      <c r="A10" s="1" t="inlineStr">
        <is>
          <t>5</t>
        </is>
      </c>
      <c r="B10" s="1" t="inlineStr">
        <is>
          <t>2025-12-11 09:24:01</t>
        </is>
      </c>
      <c r="C10" s="1" t="inlineStr">
        <is>
          <t>2025-12-11 09:39:20</t>
        </is>
      </c>
      <c r="D10" s="1" t="inlineStr">
        <is>
          <t>15m</t>
        </is>
      </c>
      <c r="E10" s="1" t="s">
        <f>=HYPERLINK("https://www.google.com/maps?q=31.421140,74.229735", "31.421140, 74.229735")</f>
      </c>
      <c r="F10" s="1" t="s">
        <f>=HYPERLINK("https://www.google.com/maps?q=31.299995,74.224597", "31.299995, 74.224597")</f>
      </c>
      <c r="G10" s="1" t="inlineStr">
        <is>
          <t>13.87</t>
        </is>
      </c>
      <c r="H10" s="1" t="inlineStr">
        <is>
          <t>82</t>
        </is>
      </c>
      <c r="I10" s="1" t="inlineStr">
        <is>
          <t>56.9</t>
        </is>
      </c>
    </row>
    <row collapsed="false" customFormat="false" customHeight="false" hidden="false" ht="12.1" outlineLevel="0" r="11">
      <c r="A11" s="1" t="inlineStr">
        <is>
          <t>6</t>
        </is>
      </c>
      <c r="B11" s="1" t="inlineStr">
        <is>
          <t>2025-12-11 09:39:52</t>
        </is>
      </c>
      <c r="C11" s="1" t="inlineStr">
        <is>
          <t>2025-12-11 09:47:05</t>
        </is>
      </c>
      <c r="D11" s="1" t="inlineStr">
        <is>
          <t>7m</t>
        </is>
      </c>
      <c r="E11" s="1" t="s">
        <f>=HYPERLINK("https://www.google.com/maps?q=31.298898,74.224598", "31.298898, 74.224598")</f>
      </c>
      <c r="F11" s="1" t="s">
        <f>=HYPERLINK("https://www.google.com/maps?q=31.248572,74.180522", "31.248572, 74.180522")</f>
      </c>
      <c r="G11" s="1" t="inlineStr">
        <is>
          <t>7.66</t>
        </is>
      </c>
      <c r="H11" s="1" t="inlineStr">
        <is>
          <t>86</t>
        </is>
      </c>
      <c r="I11" s="1" t="inlineStr">
        <is>
          <t>62.3</t>
        </is>
      </c>
    </row>
    <row collapsed="false" customFormat="false" customHeight="false" hidden="false" ht="12.1" outlineLevel="0" r="12">
      <c r="A12" s="1" t="inlineStr">
        <is>
          <t>7</t>
        </is>
      </c>
      <c r="B12" s="1" t="inlineStr">
        <is>
          <t>2025-12-11 09:56:15</t>
        </is>
      </c>
      <c r="C12" s="1" t="inlineStr">
        <is>
          <t>2025-12-11 10:01:16</t>
        </is>
      </c>
      <c r="D12" s="1" t="inlineStr">
        <is>
          <t>5m</t>
        </is>
      </c>
      <c r="E12" s="1" t="s">
        <f>=HYPERLINK("https://www.google.com/maps?q=31.248470,74.180535", "31.248470, 74.180535")</f>
      </c>
      <c r="F12" s="1" t="s">
        <f>=HYPERLINK("https://www.google.com/maps?q=31.249140,74.178890", "31.249140, 74.178890")</f>
      </c>
      <c r="G12" s="1" t="inlineStr">
        <is>
          <t>4.35</t>
        </is>
      </c>
      <c r="H12" s="1" t="inlineStr">
        <is>
          <t>80</t>
        </is>
      </c>
      <c r="I12" s="1" t="inlineStr">
        <is>
          <t>47.1</t>
        </is>
      </c>
    </row>
    <row collapsed="false" customFormat="false" customHeight="false" hidden="false" ht="12.1" outlineLevel="0" r="13">
      <c r="A13" s="1" t="inlineStr">
        <is>
          <t>8</t>
        </is>
      </c>
      <c r="B13" s="1" t="inlineStr">
        <is>
          <t>2025-12-11 10:05:30</t>
        </is>
      </c>
      <c r="C13" s="1" t="inlineStr">
        <is>
          <t>2025-12-11 10:06:24</t>
        </is>
      </c>
      <c r="D13" s="1" t="inlineStr">
        <is>
          <t>0m</t>
        </is>
      </c>
      <c r="E13" s="1" t="s">
        <f>=HYPERLINK("https://www.google.com/maps?q=31.249262,74.179248", "31.249262, 74.179248")</f>
      </c>
      <c r="F13" s="1" t="s">
        <f>=HYPERLINK("https://www.google.com/maps?q=31.249137,74.179952", "31.249137, 74.179952")</f>
      </c>
      <c r="G13" s="1" t="inlineStr">
        <is>
          <t>0.07</t>
        </is>
      </c>
      <c r="H13" s="1" t="inlineStr">
        <is>
          <t>9</t>
        </is>
      </c>
      <c r="I13" s="1" t="inlineStr">
        <is>
          <t>7.3</t>
        </is>
      </c>
    </row>
    <row collapsed="false" customFormat="false" customHeight="false" hidden="false" ht="12.1" outlineLevel="0" r="14">
      <c r="A14" s="1" t="inlineStr">
        <is>
          <t>9</t>
        </is>
      </c>
      <c r="B14" s="1" t="inlineStr">
        <is>
          <t>2025-12-11 10:11:27</t>
        </is>
      </c>
      <c r="C14" s="1" t="inlineStr">
        <is>
          <t>2025-12-11 10:16:25</t>
        </is>
      </c>
      <c r="D14" s="1" t="inlineStr">
        <is>
          <t>4m</t>
        </is>
      </c>
      <c r="E14" s="1" t="s">
        <f>=HYPERLINK("https://www.google.com/maps?q=31.249072,74.179935", "31.249072, 74.179935")</f>
      </c>
      <c r="F14" s="1" t="s">
        <f>=HYPERLINK("https://www.google.com/maps?q=31.274205,74.188353", "31.274205, 74.188353")</f>
      </c>
      <c r="G14" s="1" t="inlineStr">
        <is>
          <t>2.93</t>
        </is>
      </c>
      <c r="H14" s="1" t="inlineStr">
        <is>
          <t>50</t>
        </is>
      </c>
      <c r="I14" s="1" t="inlineStr">
        <is>
          <t>30.8</t>
        </is>
      </c>
    </row>
    <row collapsed="false" customFormat="false" customHeight="false" hidden="false" ht="12.1" outlineLevel="0" r="15">
      <c r="A15" s="1" t="inlineStr">
        <is>
          <t>10</t>
        </is>
      </c>
      <c r="B15" s="1" t="inlineStr">
        <is>
          <t>2025-12-11 10:17:50</t>
        </is>
      </c>
      <c r="C15" s="1" t="inlineStr">
        <is>
          <t>2025-12-11 10:54:44</t>
        </is>
      </c>
      <c r="D15" s="1" t="inlineStr">
        <is>
          <t>36m</t>
        </is>
      </c>
      <c r="E15" s="1" t="s">
        <f>=HYPERLINK("https://www.google.com/maps?q=31.275105,74.189265", "31.275105, 74.189265")</f>
      </c>
      <c r="F15" s="1" t="s">
        <f>=HYPERLINK("https://www.google.com/maps?q=31.547610,74.253093", "31.547610, 74.253093")</f>
      </c>
      <c r="G15" s="1" t="inlineStr">
        <is>
          <t>34.85</t>
        </is>
      </c>
      <c r="H15" s="1" t="inlineStr">
        <is>
          <t>91</t>
        </is>
      </c>
      <c r="I15" s="1" t="inlineStr">
        <is>
          <t>58.2</t>
        </is>
      </c>
    </row>
    <row collapsed="false" customFormat="false" customHeight="false" hidden="false" ht="12.1" outlineLevel="0" r="16">
      <c r="A16" s="1" t="inlineStr">
        <is>
          <t>11</t>
        </is>
      </c>
      <c r="B16" s="1" t="inlineStr">
        <is>
          <t>2025-12-11 10:56:02</t>
        </is>
      </c>
      <c r="C16" s="1" t="inlineStr">
        <is>
          <t>2025-12-11 11:34:22</t>
        </is>
      </c>
      <c r="D16" s="1" t="inlineStr">
        <is>
          <t>38m</t>
        </is>
      </c>
      <c r="E16" s="1" t="s">
        <f>=HYPERLINK("https://www.google.com/maps?q=31.547812,74.252917", "31.547812, 74.252917")</f>
      </c>
      <c r="F16" s="1" t="s">
        <f>=HYPERLINK("https://www.google.com/maps?q=31.770080,74.113762", "31.770080, 74.113762")</f>
      </c>
      <c r="G16" s="1" t="inlineStr">
        <is>
          <t>49.46</t>
        </is>
      </c>
      <c r="H16" s="1" t="inlineStr">
        <is>
          <t>108</t>
        </is>
      </c>
      <c r="I16" s="1" t="inlineStr">
        <is>
          <t>80</t>
        </is>
      </c>
    </row>
    <row collapsed="false" customFormat="false" customHeight="false" hidden="false" ht="12.1" outlineLevel="0" r="17">
      <c r="A17" s="1" t="inlineStr">
        <is>
          <t>12</t>
        </is>
      </c>
      <c r="B17" s="1" t="inlineStr">
        <is>
          <t>2025-12-11 11:48:25</t>
        </is>
      </c>
      <c r="C17" s="1" t="inlineStr">
        <is>
          <t>2025-12-11 11:59:38</t>
        </is>
      </c>
      <c r="D17" s="1" t="inlineStr">
        <is>
          <t>11m</t>
        </is>
      </c>
      <c r="E17" s="1" t="s">
        <f>=HYPERLINK("https://www.google.com/maps?q=31.770343,74.113862", "31.770343, 74.113862")</f>
      </c>
      <c r="F17" s="1" t="s">
        <f>=HYPERLINK("https://www.google.com/maps?q=31.789338,74.054263", "31.789338, 74.054263")</f>
      </c>
      <c r="G17" s="1" t="inlineStr">
        <is>
          <t>7.84</t>
        </is>
      </c>
      <c r="H17" s="1" t="inlineStr">
        <is>
          <t>81</t>
        </is>
      </c>
      <c r="I17" s="1" t="inlineStr">
        <is>
          <t>50.9</t>
        </is>
      </c>
    </row>
    <row collapsed="false" customFormat="false" customHeight="false" hidden="false" ht="12.1" outlineLevel="0" r="18">
      <c r="A18" s="1" t="inlineStr">
        <is>
          <t>13</t>
        </is>
      </c>
      <c r="B18" s="1" t="inlineStr">
        <is>
          <t>2025-12-11 13:00:34</t>
        </is>
      </c>
      <c r="C18" s="1" t="inlineStr">
        <is>
          <t>2025-12-11 13:12:35</t>
        </is>
      </c>
      <c r="D18" s="1" t="inlineStr">
        <is>
          <t>12m</t>
        </is>
      </c>
      <c r="E18" s="1" t="s">
        <f>=HYPERLINK("https://www.google.com/maps?q=31.789973,74.054215", "31.789973, 74.054215")</f>
      </c>
      <c r="F18" s="1" t="s">
        <f>=HYPERLINK("https://www.google.com/maps?q=31.770332,74.113892", "31.770332, 74.113892")</f>
      </c>
      <c r="G18" s="1" t="inlineStr">
        <is>
          <t>7.92</t>
        </is>
      </c>
      <c r="H18" s="1" t="inlineStr">
        <is>
          <t>75</t>
        </is>
      </c>
      <c r="I18" s="1" t="inlineStr">
        <is>
          <t>45.7</t>
        </is>
      </c>
    </row>
    <row collapsed="false" customFormat="false" customHeight="false" hidden="false" ht="12.1" outlineLevel="0" r="19">
      <c r="A19" s="1" t="inlineStr">
        <is>
          <t>14</t>
        </is>
      </c>
      <c r="B19" s="1" t="inlineStr">
        <is>
          <t>2025-12-11 13:31:13</t>
        </is>
      </c>
      <c r="C19" s="1" t="inlineStr">
        <is>
          <t>2025-12-11 13:45:34</t>
        </is>
      </c>
      <c r="D19" s="1" t="inlineStr">
        <is>
          <t>14m</t>
        </is>
      </c>
      <c r="E19" s="1" t="s">
        <f>=HYPERLINK("https://www.google.com/maps?q=31.770178,74.113887", "31.770178, 74.113887")</f>
      </c>
      <c r="F19" s="1" t="s">
        <f>=HYPERLINK("https://www.google.com/maps?q=31.733453,74.129267", "31.733453, 74.129267")</f>
      </c>
      <c r="G19" s="1" t="inlineStr">
        <is>
          <t>6.6</t>
        </is>
      </c>
      <c r="H19" s="1" t="inlineStr">
        <is>
          <t>58</t>
        </is>
      </c>
      <c r="I19" s="1" t="inlineStr">
        <is>
          <t>25.5</t>
        </is>
      </c>
    </row>
    <row collapsed="false" customFormat="false" customHeight="false" hidden="false" ht="12.1" outlineLevel="0" r="20">
      <c r="A20" s="1" t="inlineStr">
        <is>
          <t>15</t>
        </is>
      </c>
      <c r="B20" s="1" t="inlineStr">
        <is>
          <t>2025-12-11 13:56:57</t>
        </is>
      </c>
      <c r="C20" s="1" t="inlineStr">
        <is>
          <t>2025-12-11 14:11:46</t>
        </is>
      </c>
      <c r="D20" s="1" t="inlineStr">
        <is>
          <t>14m</t>
        </is>
      </c>
      <c r="E20" s="1" t="s">
        <f>=HYPERLINK("https://www.google.com/maps?q=31.733430,74.129205", "31.733430, 74.129205")</f>
      </c>
      <c r="F20" s="1" t="s">
        <f>=HYPERLINK("https://www.google.com/maps?q=31.769423,74.113590", "31.769423, 74.113590")</f>
      </c>
      <c r="G20" s="1" t="inlineStr">
        <is>
          <t>6.51</t>
        </is>
      </c>
      <c r="H20" s="1" t="inlineStr">
        <is>
          <t>49</t>
        </is>
      </c>
      <c r="I20" s="1" t="inlineStr">
        <is>
          <t>24.1</t>
        </is>
      </c>
    </row>
    <row collapsed="false" customFormat="false" customHeight="false" hidden="false" ht="12.1" outlineLevel="0" r="21">
      <c r="A21" s="1" t="inlineStr">
        <is>
          <t>16</t>
        </is>
      </c>
      <c r="B21" s="1" t="inlineStr">
        <is>
          <t>2025-12-11 14:12:24</t>
        </is>
      </c>
      <c r="C21" s="1" t="inlineStr">
        <is>
          <t>2025-12-11 14:12:36</t>
        </is>
      </c>
      <c r="D21" s="1" t="inlineStr">
        <is>
          <t>0m</t>
        </is>
      </c>
      <c r="E21" s="1" t="s">
        <f>=HYPERLINK("https://www.google.com/maps?q=31.770490,74.113918", "31.770490, 74.113918")</f>
      </c>
      <c r="F21" s="1" t="s">
        <f>=HYPERLINK("https://www.google.com/maps?q=31.770530,74.114230", "31.770530, 74.114230")</f>
      </c>
      <c r="G21" s="1" t="inlineStr">
        <is>
          <t>0.03</t>
        </is>
      </c>
      <c r="H21" s="1" t="inlineStr">
        <is>
          <t>12</t>
        </is>
      </c>
      <c r="I21" s="1" t="inlineStr">
        <is>
          <t>8.3</t>
        </is>
      </c>
    </row>
    <row collapsed="false" customFormat="false" customHeight="false" hidden="false" ht="12.1" outlineLevel="0" r="22">
      <c r="A22" s="1" t="inlineStr">
        <is>
          <t>17</t>
        </is>
      </c>
      <c r="B22" s="1" t="inlineStr">
        <is>
          <t>2025-12-11 14:21:13</t>
        </is>
      </c>
      <c r="C22" s="1" t="inlineStr">
        <is>
          <t>2025-12-11 14:21:46</t>
        </is>
      </c>
      <c r="D22" s="1" t="inlineStr">
        <is>
          <t>0m</t>
        </is>
      </c>
      <c r="E22" s="1" t="s">
        <f>=HYPERLINK("https://www.google.com/maps?q=31.770675,74.114692", "31.770675, 74.114692")</f>
      </c>
      <c r="F22" s="1" t="s">
        <f>=HYPERLINK("https://www.google.com/maps?q=31.771248,74.115715", "31.771248, 74.115715")</f>
      </c>
      <c r="G22" s="1" t="inlineStr">
        <is>
          <t>0.12</t>
        </is>
      </c>
      <c r="H22" s="1" t="inlineStr">
        <is>
          <t>14</t>
        </is>
      </c>
      <c r="I22" s="1" t="inlineStr">
        <is>
          <t>10.8</t>
        </is>
      </c>
    </row>
    <row collapsed="false" customFormat="false" customHeight="false" hidden="false" ht="12.1" outlineLevel="0" r="23">
      <c r="A23" s="1" t="inlineStr">
        <is>
          <t>18</t>
        </is>
      </c>
      <c r="B23" s="1" t="inlineStr">
        <is>
          <t>2025-12-11 14:49:53</t>
        </is>
      </c>
      <c r="C23" s="1" t="inlineStr">
        <is>
          <t>2025-12-11 15:19:36</t>
        </is>
      </c>
      <c r="D23" s="1" t="inlineStr">
        <is>
          <t>29m</t>
        </is>
      </c>
      <c r="E23" s="1" t="s">
        <f>=HYPERLINK("https://www.google.com/maps?q=31.771330,74.115867", "31.771330, 74.115867")</f>
      </c>
      <c r="F23" s="1" t="s">
        <f>=HYPERLINK("https://www.google.com/maps?q=31.720560,73.945395", "31.720560, 73.945395")</f>
      </c>
      <c r="G23" s="1" t="inlineStr">
        <is>
          <t>21.37</t>
        </is>
      </c>
      <c r="H23" s="1" t="inlineStr">
        <is>
          <t>70</t>
        </is>
      </c>
      <c r="I23" s="1" t="inlineStr">
        <is>
          <t>43.7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2025-12-11T10:19:43.00Z</dcterms:created>
  <dc:title/>
  <dc:subject/>
  <dc:creator/>
  <dc:description/>
  <cp:revision>0</cp:revision>
</cp:coreProperties>
</file>