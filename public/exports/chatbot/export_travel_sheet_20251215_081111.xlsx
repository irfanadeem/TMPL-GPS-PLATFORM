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Trip #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Start Location</t>
        </is>
      </c>
      <c r="F1" s="1" t="inlineStr">
        <is>
          <t>End Location</t>
        </is>
      </c>
      <c r="G1" s="1" t="inlineStr">
        <is>
          <t>Distance (km)</t>
        </is>
      </c>
      <c r="H1" s="1" t="inlineStr">
        <is>
          <t>Max Speed (km/h)</t>
        </is>
      </c>
      <c r="I1" s="1" t="inlineStr">
        <is>
          <t>Avg Speed (km/h)</t>
        </is>
      </c>
    </row>
    <row collapsed="false" customFormat="false" customHeight="false" hidden="false" ht="12.1" outlineLevel="0" r="2">
      <c r="A2" s="1" t="inlineStr">
        <is>
          <t>Device:</t>
        </is>
      </c>
      <c r="B2" s="1" t="inlineStr">
        <is>
          <t>ADG:752</t>
        </is>
      </c>
      <c r="C2" s="1"/>
      <c r="D2" s="1"/>
      <c r="E2" s="1"/>
      <c r="F2" s="1"/>
      <c r="G2" s="1"/>
      <c r="H2" s="1"/>
      <c r="I2" s="1"/>
    </row>
    <row collapsed="false" customFormat="false" customHeight="false" hidden="false" ht="12.1" outlineLevel="0" r="3">
      <c r="A3" s="1" t="inlineStr">
        <is>
          <t>Period:</t>
        </is>
      </c>
      <c r="B3" s="1" t="inlineStr">
        <is>
          <t>Dec 08 - Dec 15, 2025</t>
        </is>
      </c>
      <c r="C3" s="1"/>
      <c r="D3" s="1"/>
      <c r="E3" s="1"/>
      <c r="F3" s="1"/>
      <c r="G3" s="1"/>
      <c r="H3" s="1"/>
      <c r="I3" s="1"/>
    </row>
    <row collapsed="false" customFormat="false" customHeight="false" hidden="false" ht="12.1" outlineLevel="0" r="4">
      <c r="A4" s="1" t="inlineStr">
        <is>
          <t>Total Trips:</t>
        </is>
      </c>
      <c r="B4" s="1" t="inlineStr">
        <is>
          <t>159</t>
        </is>
      </c>
      <c r="C4" s="1"/>
      <c r="D4" s="1"/>
      <c r="E4" s="1"/>
      <c r="F4" s="1"/>
      <c r="G4" s="1"/>
      <c r="H4" s="1"/>
      <c r="I4" s="1"/>
    </row>
    <row collapsed="false" customFormat="false" customHeight="false" hidden="false" ht="12.1" outlineLevel="0" r="5">
      <c r="A5" s="1"/>
      <c r="B5" s="1"/>
      <c r="C5" s="1"/>
      <c r="D5" s="1"/>
      <c r="E5" s="1"/>
      <c r="F5" s="1"/>
      <c r="G5" s="1"/>
      <c r="H5" s="1"/>
      <c r="I5" s="1"/>
    </row>
    <row collapsed="false" customFormat="false" customHeight="false" hidden="false" ht="12.1" outlineLevel="0" r="6">
      <c r="A6" s="1" t="inlineStr">
        <is>
          <t>1</t>
        </is>
      </c>
      <c r="B6" s="1" t="inlineStr">
        <is>
          <t>2025-12-08 13:20:45</t>
        </is>
      </c>
      <c r="C6" s="1" t="inlineStr">
        <is>
          <t>2025-12-08 14:16:12</t>
        </is>
      </c>
      <c r="D6" s="1" t="inlineStr">
        <is>
          <t>55m</t>
        </is>
      </c>
      <c r="E6" s="1" t="s">
        <f>=HYPERLINK("https://www.google.com/maps?q=31.152932,74.113792", "31.152932, 74.113792")</f>
      </c>
      <c r="F6" s="1" t="s">
        <f>=HYPERLINK("https://www.google.com/maps?q=31.396425,74.229895", "31.396425, 74.229895")</f>
      </c>
      <c r="G6" s="1" t="inlineStr">
        <is>
          <t>34.54</t>
        </is>
      </c>
      <c r="H6" s="1" t="inlineStr">
        <is>
          <t>65</t>
        </is>
      </c>
      <c r="I6" s="1" t="inlineStr">
        <is>
          <t>35.8</t>
        </is>
      </c>
    </row>
    <row collapsed="false" customFormat="false" customHeight="false" hidden="false" ht="12.1" outlineLevel="0" r="7">
      <c r="A7" s="1" t="inlineStr">
        <is>
          <t>2</t>
        </is>
      </c>
      <c r="B7" s="1" t="inlineStr">
        <is>
          <t>2025-12-08 14:17:34</t>
        </is>
      </c>
      <c r="C7" s="1" t="inlineStr">
        <is>
          <t>2025-12-08 14:20:35</t>
        </is>
      </c>
      <c r="D7" s="1" t="inlineStr">
        <is>
          <t>3m</t>
        </is>
      </c>
      <c r="E7" s="1" t="s">
        <f>=HYPERLINK("https://www.google.com/maps?q=31.397647,74.229932", "31.397647, 74.229932")</f>
      </c>
      <c r="F7" s="1" t="s">
        <f>=HYPERLINK("https://www.google.com/maps?q=31.415233,74.229643", "31.415233, 74.229643")</f>
      </c>
      <c r="G7" s="1" t="inlineStr">
        <is>
          <t>1.96</t>
        </is>
      </c>
      <c r="H7" s="1" t="inlineStr">
        <is>
          <t>56</t>
        </is>
      </c>
      <c r="I7" s="1" t="inlineStr">
        <is>
          <t>35.3</t>
        </is>
      </c>
    </row>
    <row collapsed="false" customFormat="false" customHeight="false" hidden="false" ht="12.1" outlineLevel="0" r="8">
      <c r="A8" s="1" t="inlineStr">
        <is>
          <t>3</t>
        </is>
      </c>
      <c r="B8" s="1" t="inlineStr">
        <is>
          <t>2025-12-08 14:24:31</t>
        </is>
      </c>
      <c r="C8" s="1" t="inlineStr">
        <is>
          <t>2025-12-08 14:25:51</t>
        </is>
      </c>
      <c r="D8" s="1" t="inlineStr">
        <is>
          <t>1m</t>
        </is>
      </c>
      <c r="E8" s="1" t="s">
        <f>=HYPERLINK("https://www.google.com/maps?q=31.415370,74.229753", "31.415370, 74.229753")</f>
      </c>
      <c r="F8" s="1" t="s">
        <f>=HYPERLINK("https://www.google.com/maps?q=31.421845,74.229570", "31.421845, 74.229570")</f>
      </c>
      <c r="G8" s="1" t="inlineStr">
        <is>
          <t>0.72</t>
        </is>
      </c>
      <c r="H8" s="1" t="inlineStr">
        <is>
          <t>40</t>
        </is>
      </c>
      <c r="I8" s="1" t="inlineStr">
        <is>
          <t>24</t>
        </is>
      </c>
    </row>
    <row collapsed="false" customFormat="false" customHeight="false" hidden="false" ht="12.1" outlineLevel="0" r="9">
      <c r="A9" s="1" t="inlineStr">
        <is>
          <t>4</t>
        </is>
      </c>
      <c r="B9" s="1" t="inlineStr">
        <is>
          <t>2025-12-08 14:27:15</t>
        </is>
      </c>
      <c r="C9" s="1" t="inlineStr">
        <is>
          <t>2025-12-08 14:36:17</t>
        </is>
      </c>
      <c r="D9" s="1" t="inlineStr">
        <is>
          <t>9m</t>
        </is>
      </c>
      <c r="E9" s="1" t="s">
        <f>=HYPERLINK("https://www.google.com/maps?q=31.421940,74.229640", "31.421940, 74.229640")</f>
      </c>
      <c r="F9" s="1" t="s">
        <f>=HYPERLINK("https://www.google.com/maps?q=31.458760,74.244762", "31.458760, 74.244762")</f>
      </c>
      <c r="G9" s="1" t="inlineStr">
        <is>
          <t>4.83</t>
        </is>
      </c>
      <c r="H9" s="1" t="inlineStr">
        <is>
          <t>73</t>
        </is>
      </c>
      <c r="I9" s="1" t="inlineStr">
        <is>
          <t>33.5</t>
        </is>
      </c>
    </row>
    <row collapsed="false" customFormat="false" customHeight="false" hidden="false" ht="12.1" outlineLevel="0" r="10">
      <c r="A10" s="1" t="inlineStr">
        <is>
          <t>5</t>
        </is>
      </c>
      <c r="B10" s="1" t="inlineStr">
        <is>
          <t>2025-12-08 14:38:29</t>
        </is>
      </c>
      <c r="C10" s="1" t="inlineStr">
        <is>
          <t>2025-12-08 15:24:36</t>
        </is>
      </c>
      <c r="D10" s="1" t="inlineStr">
        <is>
          <t>46m</t>
        </is>
      </c>
      <c r="E10" s="1" t="s">
        <f>=HYPERLINK("https://www.google.com/maps?q=31.458825,74.244703", "31.458825, 74.244703")</f>
      </c>
      <c r="F10" s="1" t="s">
        <f>=HYPERLINK("https://www.google.com/maps?q=31.576838,74.311667", "31.576838, 74.311667")</f>
      </c>
      <c r="G10" s="1" t="inlineStr">
        <is>
          <t>21.21</t>
        </is>
      </c>
      <c r="H10" s="1" t="inlineStr">
        <is>
          <t>76</t>
        </is>
      </c>
      <c r="I10" s="1" t="inlineStr">
        <is>
          <t>26.2</t>
        </is>
      </c>
    </row>
    <row collapsed="false" customFormat="false" customHeight="false" hidden="false" ht="12.1" outlineLevel="0" r="11">
      <c r="A11" s="1" t="inlineStr">
        <is>
          <t>6</t>
        </is>
      </c>
      <c r="B11" s="1" t="inlineStr">
        <is>
          <t>2025-12-08 15:40:10</t>
        </is>
      </c>
      <c r="C11" s="1" t="inlineStr">
        <is>
          <t>2025-12-08 16:22:34</t>
        </is>
      </c>
      <c r="D11" s="1" t="inlineStr">
        <is>
          <t>42m</t>
        </is>
      </c>
      <c r="E11" s="1" t="s">
        <f>=HYPERLINK("https://www.google.com/maps?q=31.576787,74.312195", "31.576787, 74.312195")</f>
      </c>
      <c r="F11" s="1" t="s">
        <f>=HYPERLINK("https://www.google.com/maps?q=31.643712,74.183183", "31.643712, 74.183183")</f>
      </c>
      <c r="G11" s="1" t="inlineStr">
        <is>
          <t>17.32</t>
        </is>
      </c>
      <c r="H11" s="1" t="inlineStr">
        <is>
          <t>54</t>
        </is>
      </c>
      <c r="I11" s="1" t="inlineStr">
        <is>
          <t>22</t>
        </is>
      </c>
    </row>
    <row collapsed="false" customFormat="false" customHeight="false" hidden="false" ht="12.1" outlineLevel="0" r="12">
      <c r="A12" s="1" t="inlineStr">
        <is>
          <t>7</t>
        </is>
      </c>
      <c r="B12" s="1" t="inlineStr">
        <is>
          <t>2025-12-08 16:32:53</t>
        </is>
      </c>
      <c r="C12" s="1" t="inlineStr">
        <is>
          <t>2025-12-08 16:46:45</t>
        </is>
      </c>
      <c r="D12" s="1" t="inlineStr">
        <is>
          <t>13m</t>
        </is>
      </c>
      <c r="E12" s="1" t="s">
        <f>=HYPERLINK("https://www.google.com/maps?q=31.643745,74.183130", "31.643745, 74.183130")</f>
      </c>
      <c r="F12" s="1" t="s">
        <f>=HYPERLINK("https://www.google.com/maps?q=31.620315,74.169877", "31.620315, 74.169877")</f>
      </c>
      <c r="G12" s="1" t="inlineStr">
        <is>
          <t>3.57</t>
        </is>
      </c>
      <c r="H12" s="1" t="inlineStr">
        <is>
          <t>25</t>
        </is>
      </c>
      <c r="I12" s="1" t="inlineStr">
        <is>
          <t>13.6</t>
        </is>
      </c>
    </row>
    <row collapsed="false" customFormat="false" customHeight="false" hidden="false" ht="12.1" outlineLevel="0" r="13">
      <c r="A13" s="1" t="inlineStr">
        <is>
          <t>8</t>
        </is>
      </c>
      <c r="B13" s="1" t="inlineStr">
        <is>
          <t>2025-12-09 10:50:03</t>
        </is>
      </c>
      <c r="C13" s="1" t="inlineStr">
        <is>
          <t>2025-12-09 10:50:43</t>
        </is>
      </c>
      <c r="D13" s="1" t="inlineStr">
        <is>
          <t>0m</t>
        </is>
      </c>
      <c r="E13" s="1" t="s">
        <f>=HYPERLINK("https://www.google.com/maps?q=31.620433,74.169847", "31.620433, 74.169847")</f>
      </c>
      <c r="F13" s="1" t="s">
        <f>=HYPERLINK("https://www.google.com/maps?q=31.620208,74.170652", "31.620208, 74.170652")</f>
      </c>
      <c r="G13" s="1" t="inlineStr">
        <is>
          <t>0.09</t>
        </is>
      </c>
      <c r="H13" s="1" t="inlineStr">
        <is>
          <t>17</t>
        </is>
      </c>
      <c r="I13" s="1" t="inlineStr">
        <is>
          <t>8.5</t>
        </is>
      </c>
    </row>
    <row collapsed="false" customFormat="false" customHeight="false" hidden="false" ht="12.1" outlineLevel="0" r="14">
      <c r="A14" s="1" t="inlineStr">
        <is>
          <t>9</t>
        </is>
      </c>
      <c r="B14" s="1" t="inlineStr">
        <is>
          <t>2025-12-09 11:19:32</t>
        </is>
      </c>
      <c r="C14" s="1" t="inlineStr">
        <is>
          <t>2025-12-09 11:52:27</t>
        </is>
      </c>
      <c r="D14" s="1" t="inlineStr">
        <is>
          <t>32m</t>
        </is>
      </c>
      <c r="E14" s="1" t="s">
        <f>=HYPERLINK("https://www.google.com/maps?q=31.620390,74.170838", "31.620390, 74.170838")</f>
      </c>
      <c r="F14" s="1" t="s">
        <f>=HYPERLINK("https://www.google.com/maps?q=31.580580,74.265348", "31.580580, 74.265348")</f>
      </c>
      <c r="G14" s="1" t="inlineStr">
        <is>
          <t>16.32</t>
        </is>
      </c>
      <c r="H14" s="1" t="inlineStr">
        <is>
          <t>73</t>
        </is>
      </c>
      <c r="I14" s="1" t="inlineStr">
        <is>
          <t>26.1</t>
        </is>
      </c>
    </row>
    <row collapsed="false" customFormat="false" customHeight="false" hidden="false" ht="12.1" outlineLevel="0" r="15">
      <c r="A15" s="1" t="inlineStr">
        <is>
          <t>10</t>
        </is>
      </c>
      <c r="B15" s="1" t="inlineStr">
        <is>
          <t>2025-12-09 12:14:51</t>
        </is>
      </c>
      <c r="C15" s="1" t="inlineStr">
        <is>
          <t>2025-12-09 12:43:05</t>
        </is>
      </c>
      <c r="D15" s="1" t="inlineStr">
        <is>
          <t>28m</t>
        </is>
      </c>
      <c r="E15" s="1" t="s">
        <f>=HYPERLINK("https://www.google.com/maps?q=31.580510,74.265457", "31.580510, 74.265457")</f>
      </c>
      <c r="F15" s="1" t="s">
        <f>=HYPERLINK("https://www.google.com/maps?q=31.578612,74.325020", "31.578612, 74.325020")</f>
      </c>
      <c r="G15" s="1" t="inlineStr">
        <is>
          <t>7.23</t>
        </is>
      </c>
      <c r="H15" s="1" t="inlineStr">
        <is>
          <t>73</t>
        </is>
      </c>
      <c r="I15" s="1" t="inlineStr">
        <is>
          <t>14.1</t>
        </is>
      </c>
    </row>
    <row collapsed="false" customFormat="false" customHeight="false" hidden="false" ht="12.1" outlineLevel="0" r="16">
      <c r="A16" s="1" t="inlineStr">
        <is>
          <t>11</t>
        </is>
      </c>
      <c r="B16" s="1" t="inlineStr">
        <is>
          <t>2025-12-09 12:50:51</t>
        </is>
      </c>
      <c r="C16" s="1" t="inlineStr">
        <is>
          <t>2025-12-09 12:52:53</t>
        </is>
      </c>
      <c r="D16" s="1" t="inlineStr">
        <is>
          <t>2m</t>
        </is>
      </c>
      <c r="E16" s="1" t="s">
        <f>=HYPERLINK("https://www.google.com/maps?q=31.578613,74.325148", "31.578613, 74.325148")</f>
      </c>
      <c r="F16" s="1" t="s">
        <f>=HYPERLINK("https://www.google.com/maps?q=31.578585,74.325157", "31.578585, 74.325157")</f>
      </c>
      <c r="G16" s="1" t="inlineStr">
        <is>
          <t>0.06</t>
        </is>
      </c>
      <c r="H16" s="1" t="inlineStr">
        <is>
          <t>9</t>
        </is>
      </c>
      <c r="I16" s="1" t="inlineStr">
        <is>
          <t>7.5</t>
        </is>
      </c>
    </row>
    <row collapsed="false" customFormat="false" customHeight="false" hidden="false" ht="12.1" outlineLevel="0" r="17">
      <c r="A17" s="1" t="inlineStr">
        <is>
          <t>12</t>
        </is>
      </c>
      <c r="B17" s="1" t="inlineStr">
        <is>
          <t>2025-12-09 12:54:31</t>
        </is>
      </c>
      <c r="C17" s="1" t="inlineStr">
        <is>
          <t>2025-12-09 13:23:00</t>
        </is>
      </c>
      <c r="D17" s="1" t="inlineStr">
        <is>
          <t>28m</t>
        </is>
      </c>
      <c r="E17" s="1" t="s">
        <f>=HYPERLINK("https://www.google.com/maps?q=31.578672,74.324985", "31.578672, 74.324985")</f>
      </c>
      <c r="F17" s="1" t="s">
        <f>=HYPERLINK("https://www.google.com/maps?q=31.577032,74.317605", "31.577032, 74.317605")</f>
      </c>
      <c r="G17" s="1" t="inlineStr">
        <is>
          <t>4.38</t>
        </is>
      </c>
      <c r="H17" s="1" t="inlineStr">
        <is>
          <t>36</t>
        </is>
      </c>
      <c r="I17" s="1" t="inlineStr">
        <is>
          <t>11</t>
        </is>
      </c>
    </row>
    <row collapsed="false" customFormat="false" customHeight="false" hidden="false" ht="12.1" outlineLevel="0" r="18">
      <c r="A18" s="1" t="inlineStr">
        <is>
          <t>13</t>
        </is>
      </c>
      <c r="B18" s="1" t="inlineStr">
        <is>
          <t>2025-12-09 13:29:59</t>
        </is>
      </c>
      <c r="C18" s="1" t="inlineStr">
        <is>
          <t>2025-12-09 13:29:59</t>
        </is>
      </c>
      <c r="D18" s="1" t="inlineStr">
        <is>
          <t>0m</t>
        </is>
      </c>
      <c r="E18" s="1" t="s">
        <f>=HYPERLINK("https://www.google.com/maps?q=31.577200,74.317687", "31.577200, 74.317687")</f>
      </c>
      <c r="F18" s="1" t="s">
        <f>=HYPERLINK("https://www.google.com/maps?q=31.577200,74.317687", "31.577200, 74.317687")</f>
      </c>
      <c r="G18" s="1" t="inlineStr">
        <is>
          <t>0</t>
        </is>
      </c>
      <c r="H18" s="1" t="inlineStr">
        <is>
          <t>11</t>
        </is>
      </c>
      <c r="I18" s="1" t="inlineStr">
        <is>
          <t>11</t>
        </is>
      </c>
    </row>
    <row collapsed="false" customFormat="false" customHeight="false" hidden="false" ht="12.1" outlineLevel="0" r="19">
      <c r="A19" s="1" t="inlineStr">
        <is>
          <t>14</t>
        </is>
      </c>
      <c r="B19" s="1" t="inlineStr">
        <is>
          <t>2025-12-09 13:31:53</t>
        </is>
      </c>
      <c r="C19" s="1" t="inlineStr">
        <is>
          <t>2025-12-09 13:34:00</t>
        </is>
      </c>
      <c r="D19" s="1" t="inlineStr">
        <is>
          <t>2m</t>
        </is>
      </c>
      <c r="E19" s="1" t="s">
        <f>=HYPERLINK("https://www.google.com/maps?q=31.577020,74.317713", "31.577020, 74.317713")</f>
      </c>
      <c r="F19" s="1" t="s">
        <f>=HYPERLINK("https://www.google.com/maps?q=31.575448,74.317250", "31.575448, 74.317250")</f>
      </c>
      <c r="G19" s="1" t="inlineStr">
        <is>
          <t>0.22</t>
        </is>
      </c>
      <c r="H19" s="1" t="inlineStr">
        <is>
          <t>13</t>
        </is>
      </c>
      <c r="I19" s="1" t="inlineStr">
        <is>
          <t>7.4</t>
        </is>
      </c>
    </row>
    <row collapsed="false" customFormat="false" customHeight="false" hidden="false" ht="12.1" outlineLevel="0" r="20">
      <c r="A20" s="1" t="inlineStr">
        <is>
          <t>15</t>
        </is>
      </c>
      <c r="B20" s="1" t="inlineStr">
        <is>
          <t>2025-12-09 13:38:00</t>
        </is>
      </c>
      <c r="C20" s="1" t="inlineStr">
        <is>
          <t>2025-12-09 13:38:55</t>
        </is>
      </c>
      <c r="D20" s="1" t="inlineStr">
        <is>
          <t>0m</t>
        </is>
      </c>
      <c r="E20" s="1" t="s">
        <f>=HYPERLINK("https://www.google.com/maps?q=31.575450,74.317030", "31.575450, 74.317030")</f>
      </c>
      <c r="F20" s="1" t="s">
        <f>=HYPERLINK("https://www.google.com/maps?q=31.575380,74.317155", "31.575380, 74.317155")</f>
      </c>
      <c r="G20" s="1" t="inlineStr">
        <is>
          <t>0.02</t>
        </is>
      </c>
      <c r="H20" s="1" t="inlineStr">
        <is>
          <t>7</t>
        </is>
      </c>
      <c r="I20" s="1" t="inlineStr">
        <is>
          <t>6.3</t>
        </is>
      </c>
    </row>
    <row collapsed="false" customFormat="false" customHeight="false" hidden="false" ht="12.1" outlineLevel="0" r="21">
      <c r="A21" s="1" t="inlineStr">
        <is>
          <t>16</t>
        </is>
      </c>
      <c r="B21" s="1" t="inlineStr">
        <is>
          <t>2025-12-09 13:39:58</t>
        </is>
      </c>
      <c r="C21" s="1" t="inlineStr">
        <is>
          <t>2025-12-09 13:44:04</t>
        </is>
      </c>
      <c r="D21" s="1" t="inlineStr">
        <is>
          <t>4m</t>
        </is>
      </c>
      <c r="E21" s="1" t="s">
        <f>=HYPERLINK("https://www.google.com/maps?q=31.575525,74.317313", "31.575525, 74.317313")</f>
      </c>
      <c r="F21" s="1" t="s">
        <f>=HYPERLINK("https://www.google.com/maps?q=31.575482,74.317487", "31.575482, 74.317487")</f>
      </c>
      <c r="G21" s="1" t="inlineStr">
        <is>
          <t>0.14</t>
        </is>
      </c>
      <c r="H21" s="1" t="inlineStr">
        <is>
          <t>18</t>
        </is>
      </c>
      <c r="I21" s="1" t="inlineStr">
        <is>
          <t>8.7</t>
        </is>
      </c>
    </row>
    <row collapsed="false" customFormat="false" customHeight="false" hidden="false" ht="12.1" outlineLevel="0" r="22">
      <c r="A22" s="1" t="inlineStr">
        <is>
          <t>17</t>
        </is>
      </c>
      <c r="B22" s="1" t="inlineStr">
        <is>
          <t>2025-12-09 13:48:17</t>
        </is>
      </c>
      <c r="C22" s="1" t="inlineStr">
        <is>
          <t>2025-12-09 14:01:24</t>
        </is>
      </c>
      <c r="D22" s="1" t="inlineStr">
        <is>
          <t>13m</t>
        </is>
      </c>
      <c r="E22" s="1" t="s">
        <f>=HYPERLINK("https://www.google.com/maps?q=31.575577,74.317430", "31.575577, 74.317430")</f>
      </c>
      <c r="F22" s="1" t="s">
        <f>=HYPERLINK("https://www.google.com/maps?q=31.572280,74.285767", "31.572280, 74.285767")</f>
      </c>
      <c r="G22" s="1" t="inlineStr">
        <is>
          <t>3.81</t>
        </is>
      </c>
      <c r="H22" s="1" t="inlineStr">
        <is>
          <t>53</t>
        </is>
      </c>
      <c r="I22" s="1" t="inlineStr">
        <is>
          <t>16</t>
        </is>
      </c>
    </row>
    <row collapsed="false" customFormat="false" customHeight="false" hidden="false" ht="12.1" outlineLevel="0" r="23">
      <c r="A23" s="1" t="inlineStr">
        <is>
          <t>18</t>
        </is>
      </c>
      <c r="B23" s="1" t="inlineStr">
        <is>
          <t>2025-12-09 14:02:29</t>
        </is>
      </c>
      <c r="C23" s="1" t="inlineStr">
        <is>
          <t>2025-12-09 14:14:04</t>
        </is>
      </c>
      <c r="D23" s="1" t="inlineStr">
        <is>
          <t>11m</t>
        </is>
      </c>
      <c r="E23" s="1" t="s">
        <f>=HYPERLINK("https://www.google.com/maps?q=31.572302,74.285945", "31.572302, 74.285945")</f>
      </c>
      <c r="F23" s="1" t="s">
        <f>=HYPERLINK("https://www.google.com/maps?q=31.535530,74.277833", "31.535530, 74.277833")</f>
      </c>
      <c r="G23" s="1" t="inlineStr">
        <is>
          <t>5.62</t>
        </is>
      </c>
      <c r="H23" s="1" t="inlineStr">
        <is>
          <t>94</t>
        </is>
      </c>
      <c r="I23" s="1" t="inlineStr">
        <is>
          <t>33.5</t>
        </is>
      </c>
    </row>
    <row collapsed="false" customFormat="false" customHeight="false" hidden="false" ht="12.1" outlineLevel="0" r="24">
      <c r="A24" s="1" t="inlineStr">
        <is>
          <t>19</t>
        </is>
      </c>
      <c r="B24" s="1" t="inlineStr">
        <is>
          <t>2025-12-09 14:17:23</t>
        </is>
      </c>
      <c r="C24" s="1" t="inlineStr">
        <is>
          <t>2025-12-09 14:17:25</t>
        </is>
      </c>
      <c r="D24" s="1" t="inlineStr">
        <is>
          <t>0m</t>
        </is>
      </c>
      <c r="E24" s="1" t="s">
        <f>=HYPERLINK("https://www.google.com/maps?q=31.535513,74.277767", "31.535513, 74.277767")</f>
      </c>
      <c r="F24" s="1" t="s">
        <f>=HYPERLINK("https://www.google.com/maps?q=31.535535,74.277673", "31.535535, 74.277673")</f>
      </c>
      <c r="G24" s="1" t="inlineStr">
        <is>
          <t>0.01</t>
        </is>
      </c>
      <c r="H24" s="1" t="inlineStr">
        <is>
          <t>10</t>
        </is>
      </c>
      <c r="I24" s="1" t="inlineStr">
        <is>
          <t>8.3</t>
        </is>
      </c>
    </row>
    <row collapsed="false" customFormat="false" customHeight="false" hidden="false" ht="12.1" outlineLevel="0" r="25">
      <c r="A25" s="1" t="inlineStr">
        <is>
          <t>20</t>
        </is>
      </c>
      <c r="B25" s="1" t="inlineStr">
        <is>
          <t>2025-12-09 14:19:42</t>
        </is>
      </c>
      <c r="C25" s="1" t="inlineStr">
        <is>
          <t>2025-12-09 14:22:34</t>
        </is>
      </c>
      <c r="D25" s="1" t="inlineStr">
        <is>
          <t>2m</t>
        </is>
      </c>
      <c r="E25" s="1" t="s">
        <f>=HYPERLINK("https://www.google.com/maps?q=31.535625,74.277625", "31.535625, 74.277625")</f>
      </c>
      <c r="F25" s="1" t="s">
        <f>=HYPERLINK("https://www.google.com/maps?q=31.534822,74.279798", "31.534822, 74.279798")</f>
      </c>
      <c r="G25" s="1" t="inlineStr">
        <is>
          <t>0.68</t>
        </is>
      </c>
      <c r="H25" s="1" t="inlineStr">
        <is>
          <t>28</t>
        </is>
      </c>
      <c r="I25" s="1" t="inlineStr">
        <is>
          <t>15.9</t>
        </is>
      </c>
    </row>
    <row collapsed="false" customFormat="false" customHeight="false" hidden="false" ht="12.1" outlineLevel="0" r="26">
      <c r="A26" s="1" t="inlineStr">
        <is>
          <t>21</t>
        </is>
      </c>
      <c r="B26" s="1" t="inlineStr">
        <is>
          <t>2025-12-09 14:25:28</t>
        </is>
      </c>
      <c r="C26" s="1" t="inlineStr">
        <is>
          <t>2025-12-09 14:28:11</t>
        </is>
      </c>
      <c r="D26" s="1" t="inlineStr">
        <is>
          <t>2m</t>
        </is>
      </c>
      <c r="E26" s="1" t="s">
        <f>=HYPERLINK("https://www.google.com/maps?q=31.534815,74.279757", "31.534815, 74.279757")</f>
      </c>
      <c r="F26" s="1" t="s">
        <f>=HYPERLINK("https://www.google.com/maps?q=31.537065,74.272382", "31.537065, 74.272382")</f>
      </c>
      <c r="G26" s="1" t="inlineStr">
        <is>
          <t>0.76</t>
        </is>
      </c>
      <c r="H26" s="1" t="inlineStr">
        <is>
          <t>28</t>
        </is>
      </c>
      <c r="I26" s="1" t="inlineStr">
        <is>
          <t>14.1</t>
        </is>
      </c>
    </row>
    <row collapsed="false" customFormat="false" customHeight="false" hidden="false" ht="12.1" outlineLevel="0" r="27">
      <c r="A27" s="1" t="inlineStr">
        <is>
          <t>22</t>
        </is>
      </c>
      <c r="B27" s="1" t="inlineStr">
        <is>
          <t>2025-12-09 14:34:00</t>
        </is>
      </c>
      <c r="C27" s="1" t="inlineStr">
        <is>
          <t>2025-12-09 14:39:50</t>
        </is>
      </c>
      <c r="D27" s="1" t="inlineStr">
        <is>
          <t>5m</t>
        </is>
      </c>
      <c r="E27" s="1" t="s">
        <f>=HYPERLINK("https://www.google.com/maps?q=31.537045,74.272280", "31.537045, 74.272280")</f>
      </c>
      <c r="F27" s="1" t="s">
        <f>=HYPERLINK("https://www.google.com/maps?q=31.536217,74.263060", "31.536217, 74.263060")</f>
      </c>
      <c r="G27" s="1" t="inlineStr">
        <is>
          <t>1.45</t>
        </is>
      </c>
      <c r="H27" s="1" t="inlineStr">
        <is>
          <t>48</t>
        </is>
      </c>
      <c r="I27" s="1" t="inlineStr">
        <is>
          <t>18.9</t>
        </is>
      </c>
    </row>
    <row collapsed="false" customFormat="false" customHeight="false" hidden="false" ht="12.1" outlineLevel="0" r="28">
      <c r="A28" s="1" t="inlineStr">
        <is>
          <t>23</t>
        </is>
      </c>
      <c r="B28" s="1" t="inlineStr">
        <is>
          <t>2025-12-09 14:40:58</t>
        </is>
      </c>
      <c r="C28" s="1" t="inlineStr">
        <is>
          <t>2025-12-09 14:58:04</t>
        </is>
      </c>
      <c r="D28" s="1" t="inlineStr">
        <is>
          <t>17m</t>
        </is>
      </c>
      <c r="E28" s="1" t="s">
        <f>=HYPERLINK("https://www.google.com/maps?q=31.535992,74.262877", "31.535992, 74.262877")</f>
      </c>
      <c r="F28" s="1" t="s">
        <f>=HYPERLINK("https://www.google.com/maps?q=31.423870,74.229825", "31.423870, 74.229825")</f>
      </c>
      <c r="G28" s="1" t="inlineStr">
        <is>
          <t>14.38</t>
        </is>
      </c>
      <c r="H28" s="1" t="inlineStr">
        <is>
          <t>96</t>
        </is>
      </c>
      <c r="I28" s="1" t="inlineStr">
        <is>
          <t>50.7</t>
        </is>
      </c>
    </row>
    <row collapsed="false" customFormat="false" customHeight="false" hidden="false" ht="12.1" outlineLevel="0" r="29">
      <c r="A29" s="1" t="inlineStr">
        <is>
          <t>24</t>
        </is>
      </c>
      <c r="B29" s="1" t="inlineStr">
        <is>
          <t>2025-12-09 15:02:28</t>
        </is>
      </c>
      <c r="C29" s="1" t="inlineStr">
        <is>
          <t>2025-12-09 15:32:54</t>
        </is>
      </c>
      <c r="D29" s="1" t="inlineStr">
        <is>
          <t>30m</t>
        </is>
      </c>
      <c r="E29" s="1" t="s">
        <f>=HYPERLINK("https://www.google.com/maps?q=31.423087,74.229717", "31.423087, 74.229717")</f>
      </c>
      <c r="F29" s="1" t="s">
        <f>=HYPERLINK("https://www.google.com/maps?q=31.222787,74.179937", "31.222787, 74.179937")</f>
      </c>
      <c r="G29" s="1" t="inlineStr">
        <is>
          <t>25.16</t>
        </is>
      </c>
      <c r="H29" s="1" t="inlineStr">
        <is>
          <t>86</t>
        </is>
      </c>
      <c r="I29" s="1" t="inlineStr">
        <is>
          <t>50.1</t>
        </is>
      </c>
    </row>
    <row collapsed="false" customFormat="false" customHeight="false" hidden="false" ht="12.1" outlineLevel="0" r="30">
      <c r="A30" s="1" t="inlineStr">
        <is>
          <t>25</t>
        </is>
      </c>
      <c r="B30" s="1" t="inlineStr">
        <is>
          <t>2025-12-09 15:34:27</t>
        </is>
      </c>
      <c r="C30" s="1" t="inlineStr">
        <is>
          <t>2025-12-09 15:52:10</t>
        </is>
      </c>
      <c r="D30" s="1" t="inlineStr">
        <is>
          <t>17m</t>
        </is>
      </c>
      <c r="E30" s="1" t="s">
        <f>=HYPERLINK("https://www.google.com/maps?q=31.222723,74.180008", "31.222723, 74.180008")</f>
      </c>
      <c r="F30" s="1" t="s">
        <f>=HYPERLINK("https://www.google.com/maps?q=31.152937,74.113777", "31.152937, 74.113777")</f>
      </c>
      <c r="G30" s="1" t="inlineStr">
        <is>
          <t>12.32</t>
        </is>
      </c>
      <c r="H30" s="1" t="inlineStr">
        <is>
          <t>83</t>
        </is>
      </c>
      <c r="I30" s="1" t="inlineStr">
        <is>
          <t>39.1</t>
        </is>
      </c>
    </row>
    <row collapsed="false" customFormat="false" customHeight="false" hidden="false" ht="12.1" outlineLevel="0" r="31">
      <c r="A31" s="1" t="inlineStr">
        <is>
          <t>26</t>
        </is>
      </c>
      <c r="B31" s="1" t="inlineStr">
        <is>
          <t>2025-12-09 16:04:01</t>
        </is>
      </c>
      <c r="C31" s="1" t="inlineStr">
        <is>
          <t>2025-12-09 16:46:34</t>
        </is>
      </c>
      <c r="D31" s="1" t="inlineStr">
        <is>
          <t>42m</t>
        </is>
      </c>
      <c r="E31" s="1" t="s">
        <f>=HYPERLINK("https://www.google.com/maps?q=31.152998,74.113812", "31.152998, 74.113812")</f>
      </c>
      <c r="F31" s="1" t="s">
        <f>=HYPERLINK("https://www.google.com/maps?q=31.396508,74.229773", "31.396508, 74.229773")</f>
      </c>
      <c r="G31" s="1" t="inlineStr">
        <is>
          <t>34.65</t>
        </is>
      </c>
      <c r="H31" s="1" t="inlineStr">
        <is>
          <t>89</t>
        </is>
      </c>
      <c r="I31" s="1" t="inlineStr">
        <is>
          <t>45.6</t>
        </is>
      </c>
    </row>
    <row collapsed="false" customFormat="false" customHeight="false" hidden="false" ht="12.1" outlineLevel="0" r="32">
      <c r="A32" s="1" t="inlineStr">
        <is>
          <t>27</t>
        </is>
      </c>
      <c r="B32" s="1" t="inlineStr">
        <is>
          <t>2025-12-09 16:48:14</t>
        </is>
      </c>
      <c r="C32" s="1" t="inlineStr">
        <is>
          <t>2025-12-09 16:52:01</t>
        </is>
      </c>
      <c r="D32" s="1" t="inlineStr">
        <is>
          <t>3m</t>
        </is>
      </c>
      <c r="E32" s="1" t="s">
        <f>=HYPERLINK("https://www.google.com/maps?q=31.396492,74.229772", "31.396492, 74.229772")</f>
      </c>
      <c r="F32" s="1" t="s">
        <f>=HYPERLINK("https://www.google.com/maps?q=31.421297,74.229577", "31.421297, 74.229577")</f>
      </c>
      <c r="G32" s="1" t="inlineStr">
        <is>
          <t>2.76</t>
        </is>
      </c>
      <c r="H32" s="1" t="inlineStr">
        <is>
          <t>60</t>
        </is>
      </c>
      <c r="I32" s="1" t="inlineStr">
        <is>
          <t>39.5</t>
        </is>
      </c>
    </row>
    <row collapsed="false" customFormat="false" customHeight="false" hidden="false" ht="12.1" outlineLevel="0" r="33">
      <c r="A33" s="1" t="inlineStr">
        <is>
          <t>28</t>
        </is>
      </c>
      <c r="B33" s="1" t="inlineStr">
        <is>
          <t>2025-12-09 16:53:20</t>
        </is>
      </c>
      <c r="C33" s="1" t="inlineStr">
        <is>
          <t>2025-12-09 17:00:14</t>
        </is>
      </c>
      <c r="D33" s="1" t="inlineStr">
        <is>
          <t>6m</t>
        </is>
      </c>
      <c r="E33" s="1" t="s">
        <f>=HYPERLINK("https://www.google.com/maps?q=31.421368,74.229597", "31.421368, 74.229597")</f>
      </c>
      <c r="F33" s="1" t="s">
        <f>=HYPERLINK("https://www.google.com/maps?q=31.449243,74.241940", "31.449243, 74.241940")</f>
      </c>
      <c r="G33" s="1" t="inlineStr">
        <is>
          <t>3.65</t>
        </is>
      </c>
      <c r="H33" s="1" t="inlineStr">
        <is>
          <t>67</t>
        </is>
      </c>
      <c r="I33" s="1" t="inlineStr">
        <is>
          <t>34.3</t>
        </is>
      </c>
    </row>
    <row collapsed="false" customFormat="false" customHeight="false" hidden="false" ht="12.1" outlineLevel="0" r="34">
      <c r="A34" s="1" t="inlineStr">
        <is>
          <t>29</t>
        </is>
      </c>
      <c r="B34" s="1" t="inlineStr">
        <is>
          <t>2025-12-09 17:01:31</t>
        </is>
      </c>
      <c r="C34" s="1" t="inlineStr">
        <is>
          <t>2025-12-09 17:25:16</t>
        </is>
      </c>
      <c r="D34" s="1" t="inlineStr">
        <is>
          <t>23m</t>
        </is>
      </c>
      <c r="E34" s="1" t="s">
        <f>=HYPERLINK("https://www.google.com/maps?q=31.449253,74.241990", "31.449253, 74.241990")</f>
      </c>
      <c r="F34" s="1" t="s">
        <f>=HYPERLINK("https://www.google.com/maps?q=31.639025,74.205822", "31.639025, 74.205822")</f>
      </c>
      <c r="G34" s="1" t="inlineStr">
        <is>
          <t>24.53</t>
        </is>
      </c>
      <c r="H34" s="1" t="inlineStr">
        <is>
          <t>86</t>
        </is>
      </c>
      <c r="I34" s="1" t="inlineStr">
        <is>
          <t>61.4</t>
        </is>
      </c>
    </row>
    <row collapsed="false" customFormat="false" customHeight="false" hidden="false" ht="12.1" outlineLevel="0" r="35">
      <c r="A35" s="1" t="inlineStr">
        <is>
          <t>30</t>
        </is>
      </c>
      <c r="B35" s="1" t="inlineStr">
        <is>
          <t>2025-12-09 17:26:29</t>
        </is>
      </c>
      <c r="C35" s="1" t="inlineStr">
        <is>
          <t>2025-12-09 17:47:33</t>
        </is>
      </c>
      <c r="D35" s="1" t="inlineStr">
        <is>
          <t>21m</t>
        </is>
      </c>
      <c r="E35" s="1" t="s">
        <f>=HYPERLINK("https://www.google.com/maps?q=31.638870,74.205882", "31.638870, 74.205882")</f>
      </c>
      <c r="F35" s="1" t="s">
        <f>=HYPERLINK("https://www.google.com/maps?q=31.620413,74.169878", "31.620413, 74.169878")</f>
      </c>
      <c r="G35" s="1" t="inlineStr">
        <is>
          <t>7.64</t>
        </is>
      </c>
      <c r="H35" s="1" t="inlineStr">
        <is>
          <t>73</t>
        </is>
      </c>
      <c r="I35" s="1" t="inlineStr">
        <is>
          <t>20.1</t>
        </is>
      </c>
    </row>
    <row collapsed="false" customFormat="false" customHeight="false" hidden="false" ht="12.1" outlineLevel="0" r="36">
      <c r="A36" s="1" t="inlineStr">
        <is>
          <t>31</t>
        </is>
      </c>
      <c r="B36" s="1" t="inlineStr">
        <is>
          <t>2025-12-09 21:00:54</t>
        </is>
      </c>
      <c r="C36" s="1" t="inlineStr">
        <is>
          <t>2025-12-09 21:00:54</t>
        </is>
      </c>
      <c r="D36" s="1" t="inlineStr">
        <is>
          <t>0m</t>
        </is>
      </c>
      <c r="E36" s="1" t="s">
        <f>=HYPERLINK("https://www.google.com/maps?q=31.620308,74.169707", "31.620308, 74.169707")</f>
      </c>
      <c r="F36" s="1" t="s">
        <f>=HYPERLINK("https://www.google.com/maps?q=31.620308,74.169707", "31.620308, 74.169707")</f>
      </c>
      <c r="G36" s="1" t="inlineStr">
        <is>
          <t>0</t>
        </is>
      </c>
      <c r="H36" s="1" t="inlineStr">
        <is>
          <t>6</t>
        </is>
      </c>
      <c r="I36" s="1" t="inlineStr">
        <is>
          <t>6</t>
        </is>
      </c>
    </row>
    <row collapsed="false" customFormat="false" customHeight="false" hidden="false" ht="12.1" outlineLevel="0" r="37">
      <c r="A37" s="1" t="inlineStr">
        <is>
          <t>32</t>
        </is>
      </c>
      <c r="B37" s="1" t="inlineStr">
        <is>
          <t>2025-12-10 09:26:58</t>
        </is>
      </c>
      <c r="C37" s="1" t="inlineStr">
        <is>
          <t>2025-12-10 09:39:44</t>
        </is>
      </c>
      <c r="D37" s="1" t="inlineStr">
        <is>
          <t>12m</t>
        </is>
      </c>
      <c r="E37" s="1" t="s">
        <f>=HYPERLINK("https://www.google.com/maps?q=31.620458,74.169645", "31.620458, 74.169645")</f>
      </c>
      <c r="F37" s="1" t="s">
        <f>=HYPERLINK("https://www.google.com/maps?q=31.643760,74.182913", "31.643760, 74.182913")</f>
      </c>
      <c r="G37" s="1" t="inlineStr">
        <is>
          <t>3.53</t>
        </is>
      </c>
      <c r="H37" s="1" t="inlineStr">
        <is>
          <t>41</t>
        </is>
      </c>
      <c r="I37" s="1" t="inlineStr">
        <is>
          <t>14.2</t>
        </is>
      </c>
    </row>
    <row collapsed="false" customFormat="false" customHeight="false" hidden="false" ht="12.1" outlineLevel="0" r="38">
      <c r="A38" s="1" t="inlineStr">
        <is>
          <t>33</t>
        </is>
      </c>
      <c r="B38" s="1" t="inlineStr">
        <is>
          <t>2025-12-10 09:57:32</t>
        </is>
      </c>
      <c r="C38" s="1" t="inlineStr">
        <is>
          <t>2025-12-10 09:57:56</t>
        </is>
      </c>
      <c r="D38" s="1" t="inlineStr">
        <is>
          <t>0m</t>
        </is>
      </c>
      <c r="E38" s="1" t="s">
        <f>=HYPERLINK("https://www.google.com/maps?q=31.643717,74.182803", "31.643717, 74.182803")</f>
      </c>
      <c r="F38" s="1" t="s">
        <f>=HYPERLINK("https://www.google.com/maps?q=31.643315,74.182610", "31.643315, 74.182610")</f>
      </c>
      <c r="G38" s="1" t="inlineStr">
        <is>
          <t>0.06</t>
        </is>
      </c>
      <c r="H38" s="1" t="inlineStr">
        <is>
          <t>13</t>
        </is>
      </c>
      <c r="I38" s="1" t="inlineStr">
        <is>
          <t>8.7</t>
        </is>
      </c>
    </row>
    <row collapsed="false" customFormat="false" customHeight="false" hidden="false" ht="12.1" outlineLevel="0" r="39">
      <c r="A39" s="1" t="inlineStr">
        <is>
          <t>34</t>
        </is>
      </c>
      <c r="B39" s="1" t="inlineStr">
        <is>
          <t>2025-12-10 10:14:14</t>
        </is>
      </c>
      <c r="C39" s="1" t="inlineStr">
        <is>
          <t>2025-12-10 10:31:35</t>
        </is>
      </c>
      <c r="D39" s="1" t="inlineStr">
        <is>
          <t>17m</t>
        </is>
      </c>
      <c r="E39" s="1" t="s">
        <f>=HYPERLINK("https://www.google.com/maps?q=31.643185,74.182690", "31.643185, 74.182690")</f>
      </c>
      <c r="F39" s="1" t="s">
        <f>=HYPERLINK("https://www.google.com/maps?q=31.620393,74.169802", "31.620393, 74.169802")</f>
      </c>
      <c r="G39" s="1" t="inlineStr">
        <is>
          <t>3.8</t>
        </is>
      </c>
      <c r="H39" s="1" t="inlineStr">
        <is>
          <t>39</t>
        </is>
      </c>
      <c r="I39" s="1" t="inlineStr">
        <is>
          <t>14.6</t>
        </is>
      </c>
    </row>
    <row collapsed="false" customFormat="false" customHeight="false" hidden="false" ht="12.1" outlineLevel="0" r="40">
      <c r="A40" s="1" t="inlineStr">
        <is>
          <t>35</t>
        </is>
      </c>
      <c r="B40" s="1" t="inlineStr">
        <is>
          <t>2025-12-10 14:11:49</t>
        </is>
      </c>
      <c r="C40" s="1" t="inlineStr">
        <is>
          <t>2025-12-10 14:41:05</t>
        </is>
      </c>
      <c r="D40" s="1" t="inlineStr">
        <is>
          <t>29m</t>
        </is>
      </c>
      <c r="E40" s="1" t="s">
        <f>=HYPERLINK("https://www.google.com/maps?q=31.620495,74.169858", "31.620495, 74.169858")</f>
      </c>
      <c r="F40" s="1" t="s">
        <f>=HYPERLINK("https://www.google.com/maps?q=31.558487,74.241148", "31.558487, 74.241148")</f>
      </c>
      <c r="G40" s="1" t="inlineStr">
        <is>
          <t>17.74</t>
        </is>
      </c>
      <c r="H40" s="1" t="inlineStr">
        <is>
          <t>88</t>
        </is>
      </c>
      <c r="I40" s="1" t="inlineStr">
        <is>
          <t>32.7</t>
        </is>
      </c>
    </row>
    <row collapsed="false" customFormat="false" customHeight="false" hidden="false" ht="12.1" outlineLevel="0" r="41">
      <c r="A41" s="1" t="inlineStr">
        <is>
          <t>36</t>
        </is>
      </c>
      <c r="B41" s="1" t="inlineStr">
        <is>
          <t>2025-12-10 14:46:54</t>
        </is>
      </c>
      <c r="C41" s="1" t="inlineStr">
        <is>
          <t>2025-12-10 14:46:54</t>
        </is>
      </c>
      <c r="D41" s="1" t="inlineStr">
        <is>
          <t>0m</t>
        </is>
      </c>
      <c r="E41" s="1" t="s">
        <f>=HYPERLINK("https://www.google.com/maps?q=31.558290,74.241510", "31.558290, 74.241510")</f>
      </c>
      <c r="F41" s="1" t="s">
        <f>=HYPERLINK("https://www.google.com/maps?q=31.558290,74.241510", "31.558290, 74.241510")</f>
      </c>
      <c r="G41" s="1" t="inlineStr">
        <is>
          <t>0</t>
        </is>
      </c>
      <c r="H41" s="1" t="inlineStr">
        <is>
          <t>6</t>
        </is>
      </c>
      <c r="I41" s="1" t="inlineStr">
        <is>
          <t>6</t>
        </is>
      </c>
    </row>
    <row collapsed="false" customFormat="false" customHeight="false" hidden="false" ht="12.1" outlineLevel="0" r="42">
      <c r="A42" s="1" t="inlineStr">
        <is>
          <t>37</t>
        </is>
      </c>
      <c r="B42" s="1" t="inlineStr">
        <is>
          <t>2025-12-10 14:49:40</t>
        </is>
      </c>
      <c r="C42" s="1" t="inlineStr">
        <is>
          <t>2025-12-10 15:06:02</t>
        </is>
      </c>
      <c r="D42" s="1" t="inlineStr">
        <is>
          <t>16m</t>
        </is>
      </c>
      <c r="E42" s="1" t="s">
        <f>=HYPERLINK("https://www.google.com/maps?q=31.558110,74.241728", "31.558110, 74.241728")</f>
      </c>
      <c r="F42" s="1" t="s">
        <f>=HYPERLINK("https://www.google.com/maps?q=31.449198,74.206277", "31.449198, 74.206277")</f>
      </c>
      <c r="G42" s="1" t="inlineStr">
        <is>
          <t>15.65</t>
        </is>
      </c>
      <c r="H42" s="1" t="inlineStr">
        <is>
          <t>90</t>
        </is>
      </c>
      <c r="I42" s="1" t="inlineStr">
        <is>
          <t>59.3</t>
        </is>
      </c>
    </row>
    <row collapsed="false" customFormat="false" customHeight="false" hidden="false" ht="12.1" outlineLevel="0" r="43">
      <c r="A43" s="1" t="inlineStr">
        <is>
          <t>38</t>
        </is>
      </c>
      <c r="B43" s="1" t="inlineStr">
        <is>
          <t>2025-12-10 15:06:08</t>
        </is>
      </c>
      <c r="C43" s="1" t="inlineStr">
        <is>
          <t>2025-12-10 15:06:08</t>
        </is>
      </c>
      <c r="D43" s="1" t="inlineStr">
        <is>
          <t>0m</t>
        </is>
      </c>
      <c r="E43" s="1" t="s">
        <f>=HYPERLINK("https://www.google.com/maps?q=31.449097,74.206282", "31.449097, 74.206282")</f>
      </c>
      <c r="F43" s="1" t="s">
        <f>=HYPERLINK("https://www.google.com/maps?q=31.449097,74.206282", "31.449097, 74.206282")</f>
      </c>
      <c r="G43" s="1" t="inlineStr">
        <is>
          <t>0</t>
        </is>
      </c>
      <c r="H43" s="1" t="inlineStr">
        <is>
          <t>9</t>
        </is>
      </c>
      <c r="I43" s="1" t="inlineStr">
        <is>
          <t>9</t>
        </is>
      </c>
    </row>
    <row collapsed="false" customFormat="false" customHeight="false" hidden="false" ht="12.1" outlineLevel="0" r="44">
      <c r="A44" s="1" t="inlineStr">
        <is>
          <t>39</t>
        </is>
      </c>
      <c r="B44" s="1" t="inlineStr">
        <is>
          <t>2025-12-10 15:07:40</t>
        </is>
      </c>
      <c r="C44" s="1" t="inlineStr">
        <is>
          <t>2025-12-10 16:47:54</t>
        </is>
      </c>
      <c r="D44" s="1" t="inlineStr">
        <is>
          <t>1h 40m</t>
        </is>
      </c>
      <c r="E44" s="1" t="s">
        <f>=HYPERLINK("https://www.google.com/maps?q=31.449168,74.206120", "31.449168, 74.206120")</f>
      </c>
      <c r="F44" s="1" t="s">
        <f>=HYPERLINK("https://www.google.com/maps?q=30.804500,73.462245", "30.804500, 73.462245")</f>
      </c>
      <c r="G44" s="1" t="inlineStr">
        <is>
          <t>110.34</t>
        </is>
      </c>
      <c r="H44" s="1" t="inlineStr">
        <is>
          <t>99</t>
        </is>
      </c>
      <c r="I44" s="1" t="inlineStr">
        <is>
          <t>64.5</t>
        </is>
      </c>
    </row>
    <row collapsed="false" customFormat="false" customHeight="false" hidden="false" ht="12.1" outlineLevel="0" r="45">
      <c r="A45" s="1" t="inlineStr">
        <is>
          <t>40</t>
        </is>
      </c>
      <c r="B45" s="1" t="inlineStr">
        <is>
          <t>2025-12-10 17:16:28</t>
        </is>
      </c>
      <c r="C45" s="1" t="inlineStr">
        <is>
          <t>2025-12-10 17:17:48</t>
        </is>
      </c>
      <c r="D45" s="1" t="inlineStr">
        <is>
          <t>1m</t>
        </is>
      </c>
      <c r="E45" s="1" t="s">
        <f>=HYPERLINK("https://www.google.com/maps?q=30.804582,73.462160", "30.804582, 73.462160")</f>
      </c>
      <c r="F45" s="1" t="s">
        <f>=HYPERLINK("https://www.google.com/maps?q=30.805877,73.462257", "30.805877, 73.462257")</f>
      </c>
      <c r="G45" s="1" t="inlineStr">
        <is>
          <t>0.18</t>
        </is>
      </c>
      <c r="H45" s="1" t="inlineStr">
        <is>
          <t>16</t>
        </is>
      </c>
      <c r="I45" s="1" t="inlineStr">
        <is>
          <t>8.6</t>
        </is>
      </c>
    </row>
    <row collapsed="false" customFormat="false" customHeight="false" hidden="false" ht="12.1" outlineLevel="0" r="46">
      <c r="A46" s="1" t="inlineStr">
        <is>
          <t>41</t>
        </is>
      </c>
      <c r="B46" s="1" t="inlineStr">
        <is>
          <t>2025-12-10 17:19:07</t>
        </is>
      </c>
      <c r="C46" s="1" t="inlineStr">
        <is>
          <t>2025-12-10 17:27:17</t>
        </is>
      </c>
      <c r="D46" s="1" t="inlineStr">
        <is>
          <t>8m</t>
        </is>
      </c>
      <c r="E46" s="1" t="s">
        <f>=HYPERLINK("https://www.google.com/maps?q=30.805888,73.462190", "30.805888, 73.462190")</f>
      </c>
      <c r="F46" s="1" t="s">
        <f>=HYPERLINK("https://www.google.com/maps?q=30.800247,73.432737", "30.800247, 73.432737")</f>
      </c>
      <c r="G46" s="1" t="inlineStr">
        <is>
          <t>3.87</t>
        </is>
      </c>
      <c r="H46" s="1" t="inlineStr">
        <is>
          <t>65</t>
        </is>
      </c>
      <c r="I46" s="1" t="inlineStr">
        <is>
          <t>21.8</t>
        </is>
      </c>
    </row>
    <row collapsed="false" customFormat="false" customHeight="false" hidden="false" ht="12.1" outlineLevel="0" r="47">
      <c r="A47" s="1" t="inlineStr">
        <is>
          <t>42</t>
        </is>
      </c>
      <c r="B47" s="1" t="inlineStr">
        <is>
          <t>2025-12-10 17:37:04</t>
        </is>
      </c>
      <c r="C47" s="1" t="inlineStr">
        <is>
          <t>2025-12-10 17:42:25</t>
        </is>
      </c>
      <c r="D47" s="1" t="inlineStr">
        <is>
          <t>5m</t>
        </is>
      </c>
      <c r="E47" s="1" t="s">
        <f>=HYPERLINK("https://www.google.com/maps?q=30.800163,73.432808", "30.800163, 73.432808")</f>
      </c>
      <c r="F47" s="1" t="s">
        <f>=HYPERLINK("https://www.google.com/maps?q=30.816092,73.424728", "30.816092, 73.424728")</f>
      </c>
      <c r="G47" s="1" t="inlineStr">
        <is>
          <t>3.2</t>
        </is>
      </c>
      <c r="H47" s="1" t="inlineStr">
        <is>
          <t>68</t>
        </is>
      </c>
      <c r="I47" s="1" t="inlineStr">
        <is>
          <t>28.5</t>
        </is>
      </c>
    </row>
    <row collapsed="false" customFormat="false" customHeight="false" hidden="false" ht="12.1" outlineLevel="0" r="48">
      <c r="A48" s="1" t="inlineStr">
        <is>
          <t>43</t>
        </is>
      </c>
      <c r="B48" s="1" t="inlineStr">
        <is>
          <t>2025-12-10 17:59:05</t>
        </is>
      </c>
      <c r="C48" s="1" t="inlineStr">
        <is>
          <t>2025-12-10 18:07:13</t>
        </is>
      </c>
      <c r="D48" s="1" t="inlineStr">
        <is>
          <t>8m</t>
        </is>
      </c>
      <c r="E48" s="1" t="s">
        <f>=HYPERLINK("https://www.google.com/maps?q=30.816130,73.424647", "30.816130, 73.424647")</f>
      </c>
      <c r="F48" s="1" t="s">
        <f>=HYPERLINK("https://www.google.com/maps?q=30.824257,73.457097", "30.824257, 73.457097")</f>
      </c>
      <c r="G48" s="1" t="inlineStr">
        <is>
          <t>5.18</t>
        </is>
      </c>
      <c r="H48" s="1" t="inlineStr">
        <is>
          <t>78</t>
        </is>
      </c>
      <c r="I48" s="1" t="inlineStr">
        <is>
          <t>29.7</t>
        </is>
      </c>
    </row>
    <row collapsed="false" customFormat="false" customHeight="false" hidden="false" ht="12.1" outlineLevel="0" r="49">
      <c r="A49" s="1" t="inlineStr">
        <is>
          <t>44</t>
        </is>
      </c>
      <c r="B49" s="1" t="inlineStr">
        <is>
          <t>2025-12-10 20:39:55</t>
        </is>
      </c>
      <c r="C49" s="1" t="inlineStr">
        <is>
          <t>2025-12-10 20:51:22</t>
        </is>
      </c>
      <c r="D49" s="1" t="inlineStr">
        <is>
          <t>11m</t>
        </is>
      </c>
      <c r="E49" s="1" t="s">
        <f>=HYPERLINK("https://www.google.com/maps?q=30.824243,73.457178", "30.824243, 73.457178")</f>
      </c>
      <c r="F49" s="1" t="s">
        <f>=HYPERLINK("https://www.google.com/maps?q=30.820973,73.451408", "30.820973, 73.451408")</f>
      </c>
      <c r="G49" s="1" t="inlineStr">
        <is>
          <t>1.14</t>
        </is>
      </c>
      <c r="H49" s="1" t="inlineStr">
        <is>
          <t>36</t>
        </is>
      </c>
      <c r="I49" s="1" t="inlineStr">
        <is>
          <t>10</t>
        </is>
      </c>
    </row>
    <row collapsed="false" customFormat="false" customHeight="false" hidden="false" ht="12.1" outlineLevel="0" r="50">
      <c r="A50" s="1" t="inlineStr">
        <is>
          <t>45</t>
        </is>
      </c>
      <c r="B50" s="1" t="inlineStr">
        <is>
          <t>2025-12-10 20:53:06</t>
        </is>
      </c>
      <c r="C50" s="1" t="inlineStr">
        <is>
          <t>2025-12-10 21:39:05</t>
        </is>
      </c>
      <c r="D50" s="1" t="inlineStr">
        <is>
          <t>45m</t>
        </is>
      </c>
      <c r="E50" s="1" t="s">
        <f>=HYPERLINK("https://www.google.com/maps?q=30.819792,73.451350", "30.819792, 73.451350")</f>
      </c>
      <c r="F50" s="1" t="s">
        <f>=HYPERLINK("https://www.google.com/maps?q=30.657482,73.095372", "30.657482, 73.095372")</f>
      </c>
      <c r="G50" s="1" t="inlineStr">
        <is>
          <t>42.8</t>
        </is>
      </c>
      <c r="H50" s="1" t="inlineStr">
        <is>
          <t>113</t>
        </is>
      </c>
      <c r="I50" s="1" t="inlineStr">
        <is>
          <t>55.7</t>
        </is>
      </c>
    </row>
    <row collapsed="false" customFormat="false" customHeight="false" hidden="false" ht="12.1" outlineLevel="0" r="51">
      <c r="A51" s="1" t="inlineStr">
        <is>
          <t>46</t>
        </is>
      </c>
      <c r="B51" s="1" t="inlineStr">
        <is>
          <t>2025-12-10 22:11:39</t>
        </is>
      </c>
      <c r="C51" s="1" t="inlineStr">
        <is>
          <t>2025-12-10 22:21:55</t>
        </is>
      </c>
      <c r="D51" s="1" t="inlineStr">
        <is>
          <t>10m</t>
        </is>
      </c>
      <c r="E51" s="1" t="s">
        <f>=HYPERLINK("https://www.google.com/maps?q=30.657348,73.095358", "30.657348, 73.095358")</f>
      </c>
      <c r="F51" s="1" t="s">
        <f>=HYPERLINK("https://www.google.com/maps?q=30.673480,73.092418", "30.673480, 73.092418")</f>
      </c>
      <c r="G51" s="1" t="inlineStr">
        <is>
          <t>2.93</t>
        </is>
      </c>
      <c r="H51" s="1" t="inlineStr">
        <is>
          <t>67</t>
        </is>
      </c>
      <c r="I51" s="1" t="inlineStr">
        <is>
          <t>18.4</t>
        </is>
      </c>
    </row>
    <row collapsed="false" customFormat="false" customHeight="false" hidden="false" ht="12.1" outlineLevel="0" r="52">
      <c r="A52" s="1" t="inlineStr">
        <is>
          <t>47</t>
        </is>
      </c>
      <c r="B52" s="1" t="inlineStr">
        <is>
          <t>2025-12-10 22:24:53</t>
        </is>
      </c>
      <c r="C52" s="1" t="inlineStr">
        <is>
          <t>2025-12-10 22:29:41</t>
        </is>
      </c>
      <c r="D52" s="1" t="inlineStr">
        <is>
          <t>4m</t>
        </is>
      </c>
      <c r="E52" s="1" t="s">
        <f>=HYPERLINK("https://www.google.com/maps?q=30.673335,73.092513", "30.673335, 73.092513")</f>
      </c>
      <c r="F52" s="1" t="s">
        <f>=HYPERLINK("https://www.google.com/maps?q=30.678367,73.088675", "30.678367, 73.088675")</f>
      </c>
      <c r="G52" s="1" t="inlineStr">
        <is>
          <t>1.38</t>
        </is>
      </c>
      <c r="H52" s="1" t="inlineStr">
        <is>
          <t>55</t>
        </is>
      </c>
      <c r="I52" s="1" t="inlineStr">
        <is>
          <t>15.2</t>
        </is>
      </c>
    </row>
    <row collapsed="false" customFormat="false" customHeight="false" hidden="false" ht="12.1" outlineLevel="0" r="53">
      <c r="A53" s="1" t="inlineStr">
        <is>
          <t>48</t>
        </is>
      </c>
      <c r="B53" s="1" t="inlineStr">
        <is>
          <t>2025-12-10 23:42:49</t>
        </is>
      </c>
      <c r="C53" s="1" t="inlineStr">
        <is>
          <t>2025-12-10 23:43:04</t>
        </is>
      </c>
      <c r="D53" s="1" t="inlineStr">
        <is>
          <t>0m</t>
        </is>
      </c>
      <c r="E53" s="1" t="s">
        <f>=HYPERLINK("https://www.google.com/maps?q=30.678343,73.088785", "30.678343, 73.088785")</f>
      </c>
      <c r="F53" s="1" t="s">
        <f>=HYPERLINK("https://www.google.com/maps?q=30.678422,73.088900", "30.678422, 73.088900")</f>
      </c>
      <c r="G53" s="1" t="inlineStr">
        <is>
          <t>0.02</t>
        </is>
      </c>
      <c r="H53" s="1" t="inlineStr">
        <is>
          <t>11</t>
        </is>
      </c>
      <c r="I53" s="1" t="inlineStr">
        <is>
          <t>8.7</t>
        </is>
      </c>
    </row>
    <row collapsed="false" customFormat="false" customHeight="false" hidden="false" ht="12.1" outlineLevel="0" r="54">
      <c r="A54" s="1" t="inlineStr">
        <is>
          <t>49</t>
        </is>
      </c>
      <c r="B54" s="1" t="inlineStr">
        <is>
          <t>2025-12-10 23:47:10</t>
        </is>
      </c>
      <c r="C54" s="1" t="inlineStr">
        <is>
          <t>2025-12-11 00:11:59</t>
        </is>
      </c>
      <c r="D54" s="1" t="inlineStr">
        <is>
          <t>24m</t>
        </is>
      </c>
      <c r="E54" s="1" t="s">
        <f>=HYPERLINK("https://www.google.com/maps?q=30.678408,73.088925", "30.678408, 73.088925")</f>
      </c>
      <c r="F54" s="1" t="s">
        <f>=HYPERLINK("https://www.google.com/maps?q=30.659535,73.137697", "30.659535, 73.137697")</f>
      </c>
      <c r="G54" s="1" t="inlineStr">
        <is>
          <t>8.4</t>
        </is>
      </c>
      <c r="H54" s="1" t="inlineStr">
        <is>
          <t>44</t>
        </is>
      </c>
      <c r="I54" s="1" t="inlineStr">
        <is>
          <t>18.8</t>
        </is>
      </c>
    </row>
    <row collapsed="false" customFormat="false" customHeight="false" hidden="false" ht="12.1" outlineLevel="0" r="55">
      <c r="A55" s="1" t="inlineStr">
        <is>
          <t>50</t>
        </is>
      </c>
      <c r="B55" s="1" t="inlineStr">
        <is>
          <t>2025-12-11 00:13:50</t>
        </is>
      </c>
      <c r="C55" s="1" t="inlineStr">
        <is>
          <t>2025-12-11 00:13:50</t>
        </is>
      </c>
      <c r="D55" s="1" t="inlineStr">
        <is>
          <t>0m</t>
        </is>
      </c>
      <c r="E55" s="1" t="s">
        <f>=HYPERLINK("https://www.google.com/maps?q=30.659675,73.137658", "30.659675, 73.137658")</f>
      </c>
      <c r="F55" s="1" t="s">
        <f>=HYPERLINK("https://www.google.com/maps?q=30.659675,73.137658", "30.659675, 73.137658")</f>
      </c>
      <c r="G55" s="1" t="inlineStr">
        <is>
          <t>0</t>
        </is>
      </c>
      <c r="H55" s="1" t="inlineStr">
        <is>
          <t>6</t>
        </is>
      </c>
      <c r="I55" s="1" t="inlineStr">
        <is>
          <t>6</t>
        </is>
      </c>
    </row>
    <row collapsed="false" customFormat="false" customHeight="false" hidden="false" ht="12.1" outlineLevel="0" r="56">
      <c r="A56" s="1" t="inlineStr">
        <is>
          <t>51</t>
        </is>
      </c>
      <c r="B56" s="1" t="inlineStr">
        <is>
          <t>2025-12-11 00:15:47</t>
        </is>
      </c>
      <c r="C56" s="1" t="inlineStr">
        <is>
          <t>2025-12-11 00:31:53</t>
        </is>
      </c>
      <c r="D56" s="1" t="inlineStr">
        <is>
          <t>16m</t>
        </is>
      </c>
      <c r="E56" s="1" t="s">
        <f>=HYPERLINK("https://www.google.com/maps?q=30.659727,73.137635", "30.659727, 73.137635")</f>
      </c>
      <c r="F56" s="1" t="s">
        <f>=HYPERLINK("https://www.google.com/maps?q=30.695057,73.221632", "30.695057, 73.221632")</f>
      </c>
      <c r="G56" s="1" t="inlineStr">
        <is>
          <t>9.2</t>
        </is>
      </c>
      <c r="H56" s="1" t="inlineStr">
        <is>
          <t>52</t>
        </is>
      </c>
      <c r="I56" s="1" t="inlineStr">
        <is>
          <t>34.6</t>
        </is>
      </c>
    </row>
    <row collapsed="false" customFormat="false" customHeight="false" hidden="false" ht="12.1" outlineLevel="0" r="57">
      <c r="A57" s="1" t="inlineStr">
        <is>
          <t>52</t>
        </is>
      </c>
      <c r="B57" s="1" t="inlineStr">
        <is>
          <t>2025-12-11 00:31:59</t>
        </is>
      </c>
      <c r="C57" s="1" t="inlineStr">
        <is>
          <t>2025-12-11 00:36:11</t>
        </is>
      </c>
      <c r="D57" s="1" t="inlineStr">
        <is>
          <t>4m</t>
        </is>
      </c>
      <c r="E57" s="1" t="s">
        <f>=HYPERLINK("https://www.google.com/maps?q=30.695102,73.221845", "30.695102, 73.221845")</f>
      </c>
      <c r="F57" s="1" t="s">
        <f>=HYPERLINK("https://www.google.com/maps?q=30.719538,73.271247", "30.719538, 73.271247")</f>
      </c>
      <c r="G57" s="1" t="inlineStr">
        <is>
          <t>5.45</t>
        </is>
      </c>
      <c r="H57" s="1" t="inlineStr">
        <is>
          <t>118</t>
        </is>
      </c>
      <c r="I57" s="1" t="inlineStr">
        <is>
          <t>79.6</t>
        </is>
      </c>
    </row>
    <row collapsed="false" customFormat="false" customHeight="false" hidden="false" ht="12.1" outlineLevel="0" r="58">
      <c r="A58" s="1" t="inlineStr">
        <is>
          <t>53</t>
        </is>
      </c>
      <c r="B58" s="1" t="inlineStr">
        <is>
          <t>2025-12-11 00:36:43</t>
        </is>
      </c>
      <c r="C58" s="1" t="inlineStr">
        <is>
          <t>2025-12-11 01:08:05</t>
        </is>
      </c>
      <c r="D58" s="1" t="inlineStr">
        <is>
          <t>31m</t>
        </is>
      </c>
      <c r="E58" s="1" t="s">
        <f>=HYPERLINK("https://www.google.com/maps?q=30.720217,73.272622", "30.720217, 73.272622")</f>
      </c>
      <c r="F58" s="1" t="s">
        <f>=HYPERLINK("https://www.google.com/maps?q=30.817942,73.461795", "30.817942, 73.461795")</f>
      </c>
      <c r="G58" s="1" t="inlineStr">
        <is>
          <t>23.93</t>
        </is>
      </c>
      <c r="H58" s="1" t="inlineStr">
        <is>
          <t>87</t>
        </is>
      </c>
      <c r="I58" s="1" t="inlineStr">
        <is>
          <t>42.4</t>
        </is>
      </c>
    </row>
    <row collapsed="false" customFormat="false" customHeight="false" hidden="false" ht="12.1" outlineLevel="0" r="59">
      <c r="A59" s="1" t="inlineStr">
        <is>
          <t>54</t>
        </is>
      </c>
      <c r="B59" s="1" t="inlineStr">
        <is>
          <t>2025-12-11 01:09:53</t>
        </is>
      </c>
      <c r="C59" s="1" t="inlineStr">
        <is>
          <t>2025-12-11 01:19:11</t>
        </is>
      </c>
      <c r="D59" s="1" t="inlineStr">
        <is>
          <t>9m</t>
        </is>
      </c>
      <c r="E59" s="1" t="s">
        <f>=HYPERLINK("https://www.google.com/maps?q=30.817897,73.461767", "30.817897, 73.461767")</f>
      </c>
      <c r="F59" s="1" t="s">
        <f>=HYPERLINK("https://www.google.com/maps?q=30.824022,73.454718", "30.824022, 73.454718")</f>
      </c>
      <c r="G59" s="1" t="inlineStr">
        <is>
          <t>1.87</t>
        </is>
      </c>
      <c r="H59" s="1" t="inlineStr">
        <is>
          <t>52</t>
        </is>
      </c>
      <c r="I59" s="1" t="inlineStr">
        <is>
          <t>12.8</t>
        </is>
      </c>
    </row>
    <row collapsed="false" customFormat="false" customHeight="false" hidden="false" ht="12.1" outlineLevel="0" r="60">
      <c r="A60" s="1" t="inlineStr">
        <is>
          <t>55</t>
        </is>
      </c>
      <c r="B60" s="1" t="inlineStr">
        <is>
          <t>2025-12-11 01:20:25</t>
        </is>
      </c>
      <c r="C60" s="1" t="inlineStr">
        <is>
          <t>2025-12-11 01:20:45</t>
        </is>
      </c>
      <c r="D60" s="1" t="inlineStr">
        <is>
          <t>0m</t>
        </is>
      </c>
      <c r="E60" s="1" t="s">
        <f>=HYPERLINK("https://www.google.com/maps?q=30.823950,73.454700", "30.823950, 73.454700")</f>
      </c>
      <c r="F60" s="1" t="s">
        <f>=HYPERLINK("https://www.google.com/maps?q=30.824003,73.454045", "30.824003, 73.454045")</f>
      </c>
      <c r="G60" s="1" t="inlineStr">
        <is>
          <t>0.07</t>
        </is>
      </c>
      <c r="H60" s="1" t="inlineStr">
        <is>
          <t>16</t>
        </is>
      </c>
      <c r="I60" s="1" t="inlineStr">
        <is>
          <t>10.9</t>
        </is>
      </c>
    </row>
    <row collapsed="false" customFormat="false" customHeight="false" hidden="false" ht="12.1" outlineLevel="0" r="61">
      <c r="A61" s="1" t="inlineStr">
        <is>
          <t>56</t>
        </is>
      </c>
      <c r="B61" s="1" t="inlineStr">
        <is>
          <t>2025-12-11 01:21:01</t>
        </is>
      </c>
      <c r="C61" s="1" t="inlineStr">
        <is>
          <t>2025-12-11 01:27:45</t>
        </is>
      </c>
      <c r="D61" s="1" t="inlineStr">
        <is>
          <t>6m</t>
        </is>
      </c>
      <c r="E61" s="1" t="s">
        <f>=HYPERLINK("https://www.google.com/maps?q=30.823983,73.453912", "30.823983, 73.453912")</f>
      </c>
      <c r="F61" s="1" t="s">
        <f>=HYPERLINK("https://www.google.com/maps?q=30.810033,73.446720", "30.810033, 73.446720")</f>
      </c>
      <c r="G61" s="1" t="inlineStr">
        <is>
          <t>2.26</t>
        </is>
      </c>
      <c r="H61" s="1" t="inlineStr">
        <is>
          <t>54</t>
        </is>
      </c>
      <c r="I61" s="1" t="inlineStr">
        <is>
          <t>18</t>
        </is>
      </c>
    </row>
    <row collapsed="false" customFormat="false" customHeight="false" hidden="false" ht="12.1" outlineLevel="0" r="62">
      <c r="A62" s="1" t="inlineStr">
        <is>
          <t>57</t>
        </is>
      </c>
      <c r="B62" s="1" t="inlineStr">
        <is>
          <t>2025-12-11 01:29:45</t>
        </is>
      </c>
      <c r="C62" s="1" t="inlineStr">
        <is>
          <t>2025-12-11 01:40:37</t>
        </is>
      </c>
      <c r="D62" s="1" t="inlineStr">
        <is>
          <t>10m</t>
        </is>
      </c>
      <c r="E62" s="1" t="s">
        <f>=HYPERLINK("https://www.google.com/maps?q=30.810063,73.446597", "30.810063, 73.446597")</f>
      </c>
      <c r="F62" s="1" t="s">
        <f>=HYPERLINK("https://www.google.com/maps?q=30.824008,73.457182", "30.824008, 73.457182")</f>
      </c>
      <c r="G62" s="1" t="inlineStr">
        <is>
          <t>2.7</t>
        </is>
      </c>
      <c r="H62" s="1" t="inlineStr">
        <is>
          <t>65</t>
        </is>
      </c>
      <c r="I62" s="1" t="inlineStr">
        <is>
          <t>14.3</t>
        </is>
      </c>
    </row>
    <row collapsed="false" customFormat="false" customHeight="false" hidden="false" ht="12.1" outlineLevel="0" r="63">
      <c r="A63" s="1" t="inlineStr">
        <is>
          <t>58</t>
        </is>
      </c>
      <c r="B63" s="1" t="inlineStr">
        <is>
          <t>2025-12-11 16:11:38</t>
        </is>
      </c>
      <c r="C63" s="1" t="inlineStr">
        <is>
          <t>2025-12-11 16:11:38</t>
        </is>
      </c>
      <c r="D63" s="1" t="inlineStr">
        <is>
          <t>0m</t>
        </is>
      </c>
      <c r="E63" s="1" t="s">
        <f>=HYPERLINK("https://www.google.com/maps?q=30.824213,73.456902", "30.824213, 73.456902")</f>
      </c>
      <c r="F63" s="1" t="s">
        <f>=HYPERLINK("https://www.google.com/maps?q=30.824213,73.456902", "30.824213, 73.456902")</f>
      </c>
      <c r="G63" s="1" t="inlineStr">
        <is>
          <t>0</t>
        </is>
      </c>
      <c r="H63" s="1" t="inlineStr">
        <is>
          <t>7</t>
        </is>
      </c>
      <c r="I63" s="1" t="inlineStr">
        <is>
          <t>7</t>
        </is>
      </c>
    </row>
    <row collapsed="false" customFormat="false" customHeight="false" hidden="false" ht="12.1" outlineLevel="0" r="64">
      <c r="A64" s="1" t="inlineStr">
        <is>
          <t>59</t>
        </is>
      </c>
      <c r="B64" s="1" t="inlineStr">
        <is>
          <t>2025-12-11 16:13:05</t>
        </is>
      </c>
      <c r="C64" s="1" t="inlineStr">
        <is>
          <t>2025-12-11 16:26:48</t>
        </is>
      </c>
      <c r="D64" s="1" t="inlineStr">
        <is>
          <t>13m</t>
        </is>
      </c>
      <c r="E64" s="1" t="s">
        <f>=HYPERLINK("https://www.google.com/maps?q=30.824207,73.457012", "30.824207, 73.457012")</f>
      </c>
      <c r="F64" s="1" t="s">
        <f>=HYPERLINK("https://www.google.com/maps?q=30.800148,73.432282", "30.800148, 73.432282")</f>
      </c>
      <c r="G64" s="1" t="inlineStr">
        <is>
          <t>5.32</t>
        </is>
      </c>
      <c r="H64" s="1" t="inlineStr">
        <is>
          <t>61</t>
        </is>
      </c>
      <c r="I64" s="1" t="inlineStr">
        <is>
          <t>18.7</t>
        </is>
      </c>
    </row>
    <row collapsed="false" customFormat="false" customHeight="false" hidden="false" ht="12.1" outlineLevel="0" r="65">
      <c r="A65" s="1" t="inlineStr">
        <is>
          <t>60</t>
        </is>
      </c>
      <c r="B65" s="1" t="inlineStr">
        <is>
          <t>2025-12-11 16:35:29</t>
        </is>
      </c>
      <c r="C65" s="1" t="inlineStr">
        <is>
          <t>2025-12-11 16:36:35</t>
        </is>
      </c>
      <c r="D65" s="1" t="inlineStr">
        <is>
          <t>1m</t>
        </is>
      </c>
      <c r="E65" s="1" t="s">
        <f>=HYPERLINK("https://www.google.com/maps?q=30.800228,73.432258", "30.800228, 73.432258")</f>
      </c>
      <c r="F65" s="1" t="s">
        <f>=HYPERLINK("https://www.google.com/maps?q=30.800382,73.432495", "30.800382, 73.432495")</f>
      </c>
      <c r="G65" s="1" t="inlineStr">
        <is>
          <t>0.15</t>
        </is>
      </c>
      <c r="H65" s="1" t="inlineStr">
        <is>
          <t>15</t>
        </is>
      </c>
      <c r="I65" s="1" t="inlineStr">
        <is>
          <t>8.5</t>
        </is>
      </c>
    </row>
    <row collapsed="false" customFormat="false" customHeight="false" hidden="false" ht="12.1" outlineLevel="0" r="66">
      <c r="A66" s="1" t="inlineStr">
        <is>
          <t>61</t>
        </is>
      </c>
      <c r="B66" s="1" t="inlineStr">
        <is>
          <t>2025-12-11 17:39:00</t>
        </is>
      </c>
      <c r="C66" s="1" t="inlineStr">
        <is>
          <t>2025-12-11 17:55:23</t>
        </is>
      </c>
      <c r="D66" s="1" t="inlineStr">
        <is>
          <t>16m</t>
        </is>
      </c>
      <c r="E66" s="1" t="s">
        <f>=HYPERLINK("https://www.google.com/maps?q=30.800213,73.432553", "30.800213, 73.432553")</f>
      </c>
      <c r="F66" s="1" t="s">
        <f>=HYPERLINK("https://www.google.com/maps?q=30.824158,73.457082", "30.824158, 73.457082")</f>
      </c>
      <c r="G66" s="1" t="inlineStr">
        <is>
          <t>5.21</t>
        </is>
      </c>
      <c r="H66" s="1" t="inlineStr">
        <is>
          <t>51</t>
        </is>
      </c>
      <c r="I66" s="1" t="inlineStr">
        <is>
          <t>15.1</t>
        </is>
      </c>
    </row>
    <row collapsed="false" customFormat="false" customHeight="false" hidden="false" ht="12.1" outlineLevel="0" r="67">
      <c r="A67" s="1" t="inlineStr">
        <is>
          <t>62</t>
        </is>
      </c>
      <c r="B67" s="1" t="inlineStr">
        <is>
          <t>2025-12-11 19:00:42</t>
        </is>
      </c>
      <c r="C67" s="1" t="inlineStr">
        <is>
          <t>2025-12-11 19:15:37</t>
        </is>
      </c>
      <c r="D67" s="1" t="inlineStr">
        <is>
          <t>14m</t>
        </is>
      </c>
      <c r="E67" s="1" t="s">
        <f>=HYPERLINK("https://www.google.com/maps?q=30.824083,73.456980", "30.824083, 73.456980")</f>
      </c>
      <c r="F67" s="1" t="s">
        <f>=HYPERLINK("https://www.google.com/maps?q=30.808760,73.444745", "30.808760, 73.444745")</f>
      </c>
      <c r="G67" s="1" t="inlineStr">
        <is>
          <t>3.59</t>
        </is>
      </c>
      <c r="H67" s="1" t="inlineStr">
        <is>
          <t>34</t>
        </is>
      </c>
      <c r="I67" s="1" t="inlineStr">
        <is>
          <t>13.1</t>
        </is>
      </c>
    </row>
    <row collapsed="false" customFormat="false" customHeight="false" hidden="false" ht="12.1" outlineLevel="0" r="68">
      <c r="A68" s="1" t="inlineStr">
        <is>
          <t>63</t>
        </is>
      </c>
      <c r="B68" s="1" t="inlineStr">
        <is>
          <t>2025-12-11 19:18:56</t>
        </is>
      </c>
      <c r="C68" s="1" t="inlineStr">
        <is>
          <t>2025-12-11 19:22:34</t>
        </is>
      </c>
      <c r="D68" s="1" t="inlineStr">
        <is>
          <t>3m</t>
        </is>
      </c>
      <c r="E68" s="1" t="s">
        <f>=HYPERLINK("https://www.google.com/maps?q=30.808933,73.444455", "30.808933, 73.444455")</f>
      </c>
      <c r="F68" s="1" t="s">
        <f>=HYPERLINK("https://www.google.com/maps?q=30.805785,73.438092", "30.805785, 73.438092")</f>
      </c>
      <c r="G68" s="1" t="inlineStr">
        <is>
          <t>0.75</t>
        </is>
      </c>
      <c r="H68" s="1" t="inlineStr">
        <is>
          <t>40</t>
        </is>
      </c>
      <c r="I68" s="1" t="inlineStr">
        <is>
          <t>12.4</t>
        </is>
      </c>
    </row>
    <row collapsed="false" customFormat="false" customHeight="false" hidden="false" ht="12.1" outlineLevel="0" r="69">
      <c r="A69" s="1" t="inlineStr">
        <is>
          <t>64</t>
        </is>
      </c>
      <c r="B69" s="1" t="inlineStr">
        <is>
          <t>2025-12-11 19:24:44</t>
        </is>
      </c>
      <c r="C69" s="1" t="inlineStr">
        <is>
          <t>2025-12-11 19:33:05</t>
        </is>
      </c>
      <c r="D69" s="1" t="inlineStr">
        <is>
          <t>8m</t>
        </is>
      </c>
      <c r="E69" s="1" t="s">
        <f>=HYPERLINK("https://www.google.com/maps?q=30.805782,73.438117", "30.805782, 73.438117")</f>
      </c>
      <c r="F69" s="1" t="s">
        <f>=HYPERLINK("https://www.google.com/maps?q=30.821493,73.452273", "30.821493, 73.452273")</f>
      </c>
      <c r="G69" s="1" t="inlineStr">
        <is>
          <t>3.09</t>
        </is>
      </c>
      <c r="H69" s="1" t="inlineStr">
        <is>
          <t>62</t>
        </is>
      </c>
      <c r="I69" s="1" t="inlineStr">
        <is>
          <t>18.3</t>
        </is>
      </c>
    </row>
    <row collapsed="false" customFormat="false" customHeight="false" hidden="false" ht="12.1" outlineLevel="0" r="70">
      <c r="A70" s="1" t="inlineStr">
        <is>
          <t>65</t>
        </is>
      </c>
      <c r="B70" s="1" t="inlineStr">
        <is>
          <t>2025-12-11 19:38:29</t>
        </is>
      </c>
      <c r="C70" s="1" t="inlineStr">
        <is>
          <t>2025-12-11 19:46:28</t>
        </is>
      </c>
      <c r="D70" s="1" t="inlineStr">
        <is>
          <t>7m</t>
        </is>
      </c>
      <c r="E70" s="1" t="s">
        <f>=HYPERLINK("https://www.google.com/maps?q=30.821508,73.452410", "30.821508, 73.452410")</f>
      </c>
      <c r="F70" s="1" t="s">
        <f>=HYPERLINK("https://www.google.com/maps?q=30.804338,73.456582", "30.804338, 73.456582")</f>
      </c>
      <c r="G70" s="1" t="inlineStr">
        <is>
          <t>2.19</t>
        </is>
      </c>
      <c r="H70" s="1" t="inlineStr">
        <is>
          <t>52</t>
        </is>
      </c>
      <c r="I70" s="1" t="inlineStr">
        <is>
          <t>12.5</t>
        </is>
      </c>
    </row>
    <row collapsed="false" customFormat="false" customHeight="false" hidden="false" ht="12.1" outlineLevel="0" r="71">
      <c r="A71" s="1" t="inlineStr">
        <is>
          <t>66</t>
        </is>
      </c>
      <c r="B71" s="1" t="inlineStr">
        <is>
          <t>2025-12-11 19:46:51</t>
        </is>
      </c>
      <c r="C71" s="1" t="inlineStr">
        <is>
          <t>2025-12-11 19:52:36</t>
        </is>
      </c>
      <c r="D71" s="1" t="inlineStr">
        <is>
          <t>5m</t>
        </is>
      </c>
      <c r="E71" s="1" t="s">
        <f>=HYPERLINK("https://www.google.com/maps?q=30.804385,73.456568", "30.804385, 73.456568")</f>
      </c>
      <c r="F71" s="1" t="s">
        <f>=HYPERLINK("https://www.google.com/maps?q=30.822167,73.451308", "30.822167, 73.451308")</f>
      </c>
      <c r="G71" s="1" t="inlineStr">
        <is>
          <t>2.41</t>
        </is>
      </c>
      <c r="H71" s="1" t="inlineStr">
        <is>
          <t>61</t>
        </is>
      </c>
      <c r="I71" s="1" t="inlineStr">
        <is>
          <t>20.8</t>
        </is>
      </c>
    </row>
    <row collapsed="false" customFormat="false" customHeight="false" hidden="false" ht="12.1" outlineLevel="0" r="72">
      <c r="A72" s="1" t="inlineStr">
        <is>
          <t>67</t>
        </is>
      </c>
      <c r="B72" s="1" t="inlineStr">
        <is>
          <t>2025-12-11 19:55:03</t>
        </is>
      </c>
      <c r="C72" s="1" t="inlineStr">
        <is>
          <t>2025-12-11 19:59:46</t>
        </is>
      </c>
      <c r="D72" s="1" t="inlineStr">
        <is>
          <t>4m</t>
        </is>
      </c>
      <c r="E72" s="1" t="s">
        <f>=HYPERLINK("https://www.google.com/maps?q=30.822252,73.451363", "30.822252, 73.451363")</f>
      </c>
      <c r="F72" s="1" t="s">
        <f>=HYPERLINK("https://www.google.com/maps?q=30.824168,73.457123", "30.824168, 73.457123")</f>
      </c>
      <c r="G72" s="1" t="inlineStr">
        <is>
          <t>0.78</t>
        </is>
      </c>
      <c r="H72" s="1" t="inlineStr">
        <is>
          <t>31</t>
        </is>
      </c>
      <c r="I72" s="1" t="inlineStr">
        <is>
          <t>11.4</t>
        </is>
      </c>
    </row>
    <row collapsed="false" customFormat="false" customHeight="false" hidden="false" ht="12.1" outlineLevel="0" r="73">
      <c r="A73" s="1" t="inlineStr">
        <is>
          <t>68</t>
        </is>
      </c>
      <c r="B73" s="1" t="inlineStr">
        <is>
          <t>2025-12-11 22:06:49</t>
        </is>
      </c>
      <c r="C73" s="1" t="inlineStr">
        <is>
          <t>2025-12-11 22:20:41</t>
        </is>
      </c>
      <c r="D73" s="1" t="inlineStr">
        <is>
          <t>13m</t>
        </is>
      </c>
      <c r="E73" s="1" t="s">
        <f>=HYPERLINK("https://www.google.com/maps?q=30.824060,73.456773", "30.824060, 73.456773")</f>
      </c>
      <c r="F73" s="1" t="s">
        <f>=HYPERLINK("https://www.google.com/maps?q=30.818077,73.455550", "30.818077, 73.455550")</f>
      </c>
      <c r="G73" s="1" t="inlineStr">
        <is>
          <t>2.53</t>
        </is>
      </c>
      <c r="H73" s="1" t="inlineStr">
        <is>
          <t>47</t>
        </is>
      </c>
      <c r="I73" s="1" t="inlineStr">
        <is>
          <t>12.6</t>
        </is>
      </c>
    </row>
    <row collapsed="false" customFormat="false" customHeight="false" hidden="false" ht="12.1" outlineLevel="0" r="74">
      <c r="A74" s="1" t="inlineStr">
        <is>
          <t>69</t>
        </is>
      </c>
      <c r="B74" s="1" t="inlineStr">
        <is>
          <t>2025-12-11 22:22:13</t>
        </is>
      </c>
      <c r="C74" s="1" t="inlineStr">
        <is>
          <t>2025-12-11 22:26:04</t>
        </is>
      </c>
      <c r="D74" s="1" t="inlineStr">
        <is>
          <t>3m</t>
        </is>
      </c>
      <c r="E74" s="1" t="s">
        <f>=HYPERLINK("https://www.google.com/maps?q=30.818105,73.455582", "30.818105, 73.455582")</f>
      </c>
      <c r="F74" s="1" t="s">
        <f>=HYPERLINK("https://www.google.com/maps?q=30.817950,73.461733", "30.817950, 73.461733")</f>
      </c>
      <c r="G74" s="1" t="inlineStr">
        <is>
          <t>0.72</t>
        </is>
      </c>
      <c r="H74" s="1" t="inlineStr">
        <is>
          <t>38</t>
        </is>
      </c>
      <c r="I74" s="1" t="inlineStr">
        <is>
          <t>12.7</t>
        </is>
      </c>
    </row>
    <row collapsed="false" customFormat="false" customHeight="false" hidden="false" ht="12.1" outlineLevel="0" r="75">
      <c r="A75" s="1" t="inlineStr">
        <is>
          <t>70</t>
        </is>
      </c>
      <c r="B75" s="1" t="inlineStr">
        <is>
          <t>2025-12-11 22:28:17</t>
        </is>
      </c>
      <c r="C75" s="1" t="inlineStr">
        <is>
          <t>2025-12-11 23:57:17</t>
        </is>
      </c>
      <c r="D75" s="1" t="inlineStr">
        <is>
          <t>1h 29m</t>
        </is>
      </c>
      <c r="E75" s="1" t="s">
        <f>=HYPERLINK("https://www.google.com/maps?q=30.817897,73.461765", "30.817897, 73.461765")</f>
      </c>
      <c r="F75" s="1" t="s">
        <f>=HYPERLINK("https://www.google.com/maps?q=31.403915,74.158298", "31.403915, 74.158298")</f>
      </c>
      <c r="G75" s="1" t="inlineStr">
        <is>
          <t>102.7</t>
        </is>
      </c>
      <c r="H75" s="1" t="inlineStr">
        <is>
          <t>114</t>
        </is>
      </c>
      <c r="I75" s="1" t="inlineStr">
        <is>
          <t>69.6</t>
        </is>
      </c>
    </row>
    <row collapsed="false" customFormat="false" customHeight="false" hidden="false" ht="12.1" outlineLevel="0" r="76">
      <c r="A76" s="1" t="inlineStr">
        <is>
          <t>71</t>
        </is>
      </c>
      <c r="B76" s="1" t="inlineStr">
        <is>
          <t>2025-12-12 00:04:43</t>
        </is>
      </c>
      <c r="C76" s="1" t="inlineStr">
        <is>
          <t>2025-12-12 00:04:48</t>
        </is>
      </c>
      <c r="D76" s="1" t="inlineStr">
        <is>
          <t>0m</t>
        </is>
      </c>
      <c r="E76" s="1" t="s">
        <f>=HYPERLINK("https://www.google.com/maps?q=31.404085,74.158467", "31.404085, 74.158467")</f>
      </c>
      <c r="F76" s="1" t="s">
        <f>=HYPERLINK("https://www.google.com/maps?q=31.404150,74.158498", "31.404150, 74.158498")</f>
      </c>
      <c r="G76" s="1" t="inlineStr">
        <is>
          <t>0.01</t>
        </is>
      </c>
      <c r="H76" s="1" t="inlineStr">
        <is>
          <t>7</t>
        </is>
      </c>
      <c r="I76" s="1" t="inlineStr">
        <is>
          <t>6.5</t>
        </is>
      </c>
    </row>
    <row collapsed="false" customFormat="false" customHeight="false" hidden="false" ht="12.1" outlineLevel="0" r="77">
      <c r="A77" s="1" t="inlineStr">
        <is>
          <t>72</t>
        </is>
      </c>
      <c r="B77" s="1" t="inlineStr">
        <is>
          <t>2025-12-12 00:08:26</t>
        </is>
      </c>
      <c r="C77" s="1" t="inlineStr">
        <is>
          <t>2025-12-12 00:10:47</t>
        </is>
      </c>
      <c r="D77" s="1" t="inlineStr">
        <is>
          <t>2m</t>
        </is>
      </c>
      <c r="E77" s="1" t="s">
        <f>=HYPERLINK("https://www.google.com/maps?q=31.404163,74.158498", "31.404163, 74.158498")</f>
      </c>
      <c r="F77" s="1" t="s">
        <f>=HYPERLINK("https://www.google.com/maps?q=31.402620,74.158493", "31.402620, 74.158493")</f>
      </c>
      <c r="G77" s="1" t="inlineStr">
        <is>
          <t>0.42</t>
        </is>
      </c>
      <c r="H77" s="1" t="inlineStr">
        <is>
          <t>19</t>
        </is>
      </c>
      <c r="I77" s="1" t="inlineStr">
        <is>
          <t>10</t>
        </is>
      </c>
    </row>
    <row collapsed="false" customFormat="false" customHeight="false" hidden="false" ht="12.1" outlineLevel="0" r="78">
      <c r="A78" s="1" t="inlineStr">
        <is>
          <t>73</t>
        </is>
      </c>
      <c r="B78" s="1" t="inlineStr">
        <is>
          <t>2025-12-12 00:18:23</t>
        </is>
      </c>
      <c r="C78" s="1" t="inlineStr">
        <is>
          <t>2025-12-12 00:35:16</t>
        </is>
      </c>
      <c r="D78" s="1" t="inlineStr">
        <is>
          <t>16m</t>
        </is>
      </c>
      <c r="E78" s="1" t="s">
        <f>=HYPERLINK("https://www.google.com/maps?q=31.402733,74.158512", "31.402733, 74.158512")</f>
      </c>
      <c r="F78" s="1" t="s">
        <f>=HYPERLINK("https://www.google.com/maps?q=31.374933,74.185418", "31.374933, 74.185418")</f>
      </c>
      <c r="G78" s="1" t="inlineStr">
        <is>
          <t>8.59</t>
        </is>
      </c>
      <c r="H78" s="1" t="inlineStr">
        <is>
          <t>64</t>
        </is>
      </c>
      <c r="I78" s="1" t="inlineStr">
        <is>
          <t>26.9</t>
        </is>
      </c>
    </row>
    <row collapsed="false" customFormat="false" customHeight="false" hidden="false" ht="12.1" outlineLevel="0" r="79">
      <c r="A79" s="1" t="inlineStr">
        <is>
          <t>74</t>
        </is>
      </c>
      <c r="B79" s="1" t="inlineStr">
        <is>
          <t>2025-12-12 00:38:25</t>
        </is>
      </c>
      <c r="C79" s="1" t="inlineStr">
        <is>
          <t>2025-12-12 00:38:34</t>
        </is>
      </c>
      <c r="D79" s="1" t="inlineStr">
        <is>
          <t>0m</t>
        </is>
      </c>
      <c r="E79" s="1" t="s">
        <f>=HYPERLINK("https://www.google.com/maps?q=31.374905,74.185437", "31.374905, 74.185437")</f>
      </c>
      <c r="F79" s="1" t="s">
        <f>=HYPERLINK("https://www.google.com/maps?q=31.375075,74.185143", "31.375075, 74.185143")</f>
      </c>
      <c r="G79" s="1" t="inlineStr">
        <is>
          <t>0.04</t>
        </is>
      </c>
      <c r="H79" s="1" t="inlineStr">
        <is>
          <t>14</t>
        </is>
      </c>
      <c r="I79" s="1" t="inlineStr">
        <is>
          <t>11.3</t>
        </is>
      </c>
    </row>
    <row collapsed="false" customFormat="false" customHeight="false" hidden="false" ht="12.1" outlineLevel="0" r="80">
      <c r="A80" s="1" t="inlineStr">
        <is>
          <t>75</t>
        </is>
      </c>
      <c r="B80" s="1" t="inlineStr">
        <is>
          <t>2025-12-12 00:44:03</t>
        </is>
      </c>
      <c r="C80" s="1" t="inlineStr">
        <is>
          <t>2025-12-12 00:46:39</t>
        </is>
      </c>
      <c r="D80" s="1" t="inlineStr">
        <is>
          <t>2m</t>
        </is>
      </c>
      <c r="E80" s="1" t="s">
        <f>=HYPERLINK("https://www.google.com/maps?q=31.375167,74.185117", "31.375167, 74.185117")</f>
      </c>
      <c r="F80" s="1" t="s">
        <f>=HYPERLINK("https://www.google.com/maps?q=31.375268,74.185205", "31.375268, 74.185205")</f>
      </c>
      <c r="G80" s="1" t="inlineStr">
        <is>
          <t>0.23</t>
        </is>
      </c>
      <c r="H80" s="1" t="inlineStr">
        <is>
          <t>12</t>
        </is>
      </c>
      <c r="I80" s="1" t="inlineStr">
        <is>
          <t>7.8</t>
        </is>
      </c>
    </row>
    <row collapsed="false" customFormat="false" customHeight="false" hidden="false" ht="12.1" outlineLevel="0" r="81">
      <c r="A81" s="1" t="inlineStr">
        <is>
          <t>76</t>
        </is>
      </c>
      <c r="B81" s="1" t="inlineStr">
        <is>
          <t>2025-12-12 00:48:32</t>
        </is>
      </c>
      <c r="C81" s="1" t="inlineStr">
        <is>
          <t>2025-12-12 00:51:09</t>
        </is>
      </c>
      <c r="D81" s="1" t="inlineStr">
        <is>
          <t>2m</t>
        </is>
      </c>
      <c r="E81" s="1" t="s">
        <f>=HYPERLINK("https://www.google.com/maps?q=31.375030,74.185190", "31.375030, 74.185190")</f>
      </c>
      <c r="F81" s="1" t="s">
        <f>=HYPERLINK("https://www.google.com/maps?q=31.374892,74.185388", "31.374892, 74.185388")</f>
      </c>
      <c r="G81" s="1" t="inlineStr">
        <is>
          <t>0.12</t>
        </is>
      </c>
      <c r="H81" s="1" t="inlineStr">
        <is>
          <t>15</t>
        </is>
      </c>
      <c r="I81" s="1" t="inlineStr">
        <is>
          <t>8.8</t>
        </is>
      </c>
    </row>
    <row collapsed="false" customFormat="false" customHeight="false" hidden="false" ht="12.1" outlineLevel="0" r="82">
      <c r="A82" s="1" t="inlineStr">
        <is>
          <t>77</t>
        </is>
      </c>
      <c r="B82" s="1" t="inlineStr">
        <is>
          <t>2025-12-12 00:57:26</t>
        </is>
      </c>
      <c r="C82" s="1" t="inlineStr">
        <is>
          <t>2025-12-12 01:03:08</t>
        </is>
      </c>
      <c r="D82" s="1" t="inlineStr">
        <is>
          <t>5m</t>
        </is>
      </c>
      <c r="E82" s="1" t="s">
        <f>=HYPERLINK("https://www.google.com/maps?q=31.374967,74.185375", "31.374967, 74.185375")</f>
      </c>
      <c r="F82" s="1" t="s">
        <f>=HYPERLINK("https://www.google.com/maps?q=31.375033,74.185368", "31.375033, 74.185368")</f>
      </c>
      <c r="G82" s="1" t="inlineStr">
        <is>
          <t>2.42</t>
        </is>
      </c>
      <c r="H82" s="1" t="inlineStr">
        <is>
          <t>52</t>
        </is>
      </c>
      <c r="I82" s="1" t="inlineStr">
        <is>
          <t>20.3</t>
        </is>
      </c>
    </row>
    <row collapsed="false" customFormat="false" customHeight="false" hidden="false" ht="12.1" outlineLevel="0" r="83">
      <c r="A83" s="1" t="inlineStr">
        <is>
          <t>78</t>
        </is>
      </c>
      <c r="B83" s="1" t="inlineStr">
        <is>
          <t>2025-12-12 01:27:37</t>
        </is>
      </c>
      <c r="C83" s="1" t="inlineStr">
        <is>
          <t>2025-12-12 01:28:55</t>
        </is>
      </c>
      <c r="D83" s="1" t="inlineStr">
        <is>
          <t>1m</t>
        </is>
      </c>
      <c r="E83" s="1" t="s">
        <f>=HYPERLINK("https://www.google.com/maps?q=31.374768,74.185377", "31.374768, 74.185377")</f>
      </c>
      <c r="F83" s="1" t="s">
        <f>=HYPERLINK("https://www.google.com/maps?q=31.374863,74.185372", "31.374863, 74.185372")</f>
      </c>
      <c r="G83" s="1" t="inlineStr">
        <is>
          <t>0.03</t>
        </is>
      </c>
      <c r="H83" s="1" t="inlineStr">
        <is>
          <t>15</t>
        </is>
      </c>
      <c r="I83" s="1" t="inlineStr">
        <is>
          <t>8.5</t>
        </is>
      </c>
    </row>
    <row collapsed="false" customFormat="false" customHeight="false" hidden="false" ht="12.1" outlineLevel="0" r="84">
      <c r="A84" s="1" t="inlineStr">
        <is>
          <t>79</t>
        </is>
      </c>
      <c r="B84" s="1" t="inlineStr">
        <is>
          <t>2025-12-12 01:41:08</t>
        </is>
      </c>
      <c r="C84" s="1" t="inlineStr">
        <is>
          <t>2025-12-12 01:53:48</t>
        </is>
      </c>
      <c r="D84" s="1" t="inlineStr">
        <is>
          <t>12m</t>
        </is>
      </c>
      <c r="E84" s="1" t="s">
        <f>=HYPERLINK("https://www.google.com/maps?q=31.374887,74.185215", "31.374887, 74.185215")</f>
      </c>
      <c r="F84" s="1" t="s">
        <f>=HYPERLINK("https://www.google.com/maps?q=31.399938,74.195578", "31.399938, 74.195578")</f>
      </c>
      <c r="G84" s="1" t="inlineStr">
        <is>
          <t>4.32</t>
        </is>
      </c>
      <c r="H84" s="1" t="inlineStr">
        <is>
          <t>66</t>
        </is>
      </c>
      <c r="I84" s="1" t="inlineStr">
        <is>
          <t>16.7</t>
        </is>
      </c>
    </row>
    <row collapsed="false" customFormat="false" customHeight="false" hidden="false" ht="12.1" outlineLevel="0" r="85">
      <c r="A85" s="1" t="inlineStr">
        <is>
          <t>80</t>
        </is>
      </c>
      <c r="B85" s="1" t="inlineStr">
        <is>
          <t>2025-12-12 02:12:56</t>
        </is>
      </c>
      <c r="C85" s="1" t="inlineStr">
        <is>
          <t>2025-12-12 02:14:29</t>
        </is>
      </c>
      <c r="D85" s="1" t="inlineStr">
        <is>
          <t>1m</t>
        </is>
      </c>
      <c r="E85" s="1" t="s">
        <f>=HYPERLINK("https://www.google.com/maps?q=31.399993,74.195357", "31.399993, 74.195357")</f>
      </c>
      <c r="F85" s="1" t="s">
        <f>=HYPERLINK("https://www.google.com/maps?q=31.400800,74.195232", "31.400800, 74.195232")</f>
      </c>
      <c r="G85" s="1" t="inlineStr">
        <is>
          <t>0.16</t>
        </is>
      </c>
      <c r="H85" s="1" t="inlineStr">
        <is>
          <t>15</t>
        </is>
      </c>
      <c r="I85" s="1" t="inlineStr">
        <is>
          <t>8.9</t>
        </is>
      </c>
    </row>
    <row collapsed="false" customFormat="false" customHeight="false" hidden="false" ht="12.1" outlineLevel="0" r="86">
      <c r="A86" s="1" t="inlineStr">
        <is>
          <t>81</t>
        </is>
      </c>
      <c r="B86" s="1" t="inlineStr">
        <is>
          <t>2025-12-12 02:15:48</t>
        </is>
      </c>
      <c r="C86" s="1" t="inlineStr">
        <is>
          <t>2025-12-12 03:39:34</t>
        </is>
      </c>
      <c r="D86" s="1" t="inlineStr">
        <is>
          <t>1h 23m</t>
        </is>
      </c>
      <c r="E86" s="1" t="s">
        <f>=HYPERLINK("https://www.google.com/maps?q=31.400972,74.195173", "31.400972, 74.195173")</f>
      </c>
      <c r="F86" s="1" t="s">
        <f>=HYPERLINK("https://www.google.com/maps?q=31.567300,74.323965", "31.567300, 74.323965")</f>
      </c>
      <c r="G86" s="1" t="inlineStr">
        <is>
          <t>42.22</t>
        </is>
      </c>
      <c r="H86" s="1" t="inlineStr">
        <is>
          <t>86</t>
        </is>
      </c>
      <c r="I86" s="1" t="inlineStr">
        <is>
          <t>29.4</t>
        </is>
      </c>
    </row>
    <row collapsed="false" customFormat="false" customHeight="false" hidden="false" ht="12.1" outlineLevel="0" r="87">
      <c r="A87" s="1" t="inlineStr">
        <is>
          <t>82</t>
        </is>
      </c>
      <c r="B87" s="1" t="inlineStr">
        <is>
          <t>2025-12-12 04:35:55</t>
        </is>
      </c>
      <c r="C87" s="1" t="inlineStr">
        <is>
          <t>2025-12-12 04:50:36</t>
        </is>
      </c>
      <c r="D87" s="1" t="inlineStr">
        <is>
          <t>14m</t>
        </is>
      </c>
      <c r="E87" s="1" t="s">
        <f>=HYPERLINK("https://www.google.com/maps?q=31.567460,74.324017", "31.567460, 74.324017")</f>
      </c>
      <c r="F87" s="1" t="s">
        <f>=HYPERLINK("https://www.google.com/maps?q=31.585407,74.312445", "31.585407, 74.312445")</f>
      </c>
      <c r="G87" s="1" t="inlineStr">
        <is>
          <t>4.86</t>
        </is>
      </c>
      <c r="H87" s="1" t="inlineStr">
        <is>
          <t>61</t>
        </is>
      </c>
      <c r="I87" s="1" t="inlineStr">
        <is>
          <t>17.3</t>
        </is>
      </c>
    </row>
    <row collapsed="false" customFormat="false" customHeight="false" hidden="false" ht="12.1" outlineLevel="0" r="88">
      <c r="A88" s="1" t="inlineStr">
        <is>
          <t>83</t>
        </is>
      </c>
      <c r="B88" s="1" t="inlineStr">
        <is>
          <t>2025-12-12 04:59:53</t>
        </is>
      </c>
      <c r="C88" s="1" t="inlineStr">
        <is>
          <t>2025-12-12 04:59:54</t>
        </is>
      </c>
      <c r="D88" s="1" t="inlineStr">
        <is>
          <t>0m</t>
        </is>
      </c>
      <c r="E88" s="1" t="s">
        <f>=HYPERLINK("https://www.google.com/maps?q=31.585388,74.312398", "31.585388, 74.312398")</f>
      </c>
      <c r="F88" s="1" t="s">
        <f>=HYPERLINK("https://www.google.com/maps?q=31.585410,74.312388", "31.585410, 74.312388")</f>
      </c>
      <c r="G88" s="1" t="inlineStr">
        <is>
          <t>0</t>
        </is>
      </c>
      <c r="H88" s="1" t="inlineStr">
        <is>
          <t>7</t>
        </is>
      </c>
      <c r="I88" s="1" t="inlineStr">
        <is>
          <t>6.5</t>
        </is>
      </c>
    </row>
    <row collapsed="false" customFormat="false" customHeight="false" hidden="false" ht="12.1" outlineLevel="0" r="89">
      <c r="A89" s="1" t="inlineStr">
        <is>
          <t>84</t>
        </is>
      </c>
      <c r="B89" s="1" t="inlineStr">
        <is>
          <t>2025-12-12 05:03:43</t>
        </is>
      </c>
      <c r="C89" s="1" t="inlineStr">
        <is>
          <t>2025-12-12 05:14:03</t>
        </is>
      </c>
      <c r="D89" s="1" t="inlineStr">
        <is>
          <t>10m</t>
        </is>
      </c>
      <c r="E89" s="1" t="s">
        <f>=HYPERLINK("https://www.google.com/maps?q=31.585357,74.312385", "31.585357, 74.312385")</f>
      </c>
      <c r="F89" s="1" t="s">
        <f>=HYPERLINK("https://www.google.com/maps?q=31.585468,74.312440", "31.585468, 74.312440")</f>
      </c>
      <c r="G89" s="1" t="inlineStr">
        <is>
          <t>2.04</t>
        </is>
      </c>
      <c r="H89" s="1" t="inlineStr">
        <is>
          <t>24</t>
        </is>
      </c>
      <c r="I89" s="1" t="inlineStr">
        <is>
          <t>11.1</t>
        </is>
      </c>
    </row>
    <row collapsed="false" customFormat="false" customHeight="false" hidden="false" ht="12.1" outlineLevel="0" r="90">
      <c r="A90" s="1" t="inlineStr">
        <is>
          <t>85</t>
        </is>
      </c>
      <c r="B90" s="1" t="inlineStr">
        <is>
          <t>2025-12-12 05:25:17</t>
        </is>
      </c>
      <c r="C90" s="1" t="inlineStr">
        <is>
          <t>2025-12-12 05:56:41</t>
        </is>
      </c>
      <c r="D90" s="1" t="inlineStr">
        <is>
          <t>31m</t>
        </is>
      </c>
      <c r="E90" s="1" t="s">
        <f>=HYPERLINK("https://www.google.com/maps?q=31.585468,74.312327", "31.585468, 74.312327")</f>
      </c>
      <c r="F90" s="1" t="s">
        <f>=HYPERLINK("https://www.google.com/maps?q=31.451413,74.209108", "31.451413, 74.209108")</f>
      </c>
      <c r="G90" s="1" t="inlineStr">
        <is>
          <t>23.66</t>
        </is>
      </c>
      <c r="H90" s="1" t="inlineStr">
        <is>
          <t>80</t>
        </is>
      </c>
      <c r="I90" s="1" t="inlineStr">
        <is>
          <t>42.2</t>
        </is>
      </c>
    </row>
    <row collapsed="false" customFormat="false" customHeight="false" hidden="false" ht="12.1" outlineLevel="0" r="91">
      <c r="A91" s="1" t="inlineStr">
        <is>
          <t>86</t>
        </is>
      </c>
      <c r="B91" s="1" t="inlineStr">
        <is>
          <t>2025-12-12 05:58:34</t>
        </is>
      </c>
      <c r="C91" s="1" t="inlineStr">
        <is>
          <t>2025-12-12 07:52:19</t>
        </is>
      </c>
      <c r="D91" s="1" t="inlineStr">
        <is>
          <t>1h 53m</t>
        </is>
      </c>
      <c r="E91" s="1" t="s">
        <f>=HYPERLINK("https://www.google.com/maps?q=31.451440,74.209075", "31.451440, 74.209075")</f>
      </c>
      <c r="F91" s="1" t="s">
        <f>=HYPERLINK("https://www.google.com/maps?q=30.817910,73.461410", "30.817910, 73.461410")</f>
      </c>
      <c r="G91" s="1" t="inlineStr">
        <is>
          <t>110.25</t>
        </is>
      </c>
      <c r="H91" s="1" t="inlineStr">
        <is>
          <t>113</t>
        </is>
      </c>
      <c r="I91" s="1" t="inlineStr">
        <is>
          <t>58.5</t>
        </is>
      </c>
    </row>
    <row collapsed="false" customFormat="false" customHeight="false" hidden="false" ht="12.1" outlineLevel="0" r="92">
      <c r="A92" s="1" t="inlineStr">
        <is>
          <t>87</t>
        </is>
      </c>
      <c r="B92" s="1" t="inlineStr">
        <is>
          <t>2025-12-12 07:54:25</t>
        </is>
      </c>
      <c r="C92" s="1" t="inlineStr">
        <is>
          <t>2025-12-12 08:04:05</t>
        </is>
      </c>
      <c r="D92" s="1" t="inlineStr">
        <is>
          <t>9m</t>
        </is>
      </c>
      <c r="E92" s="1" t="s">
        <f>=HYPERLINK("https://www.google.com/maps?q=30.817883,73.461328", "30.817883, 73.461328")</f>
      </c>
      <c r="F92" s="1" t="s">
        <f>=HYPERLINK("https://www.google.com/maps?q=30.824105,73.457112", "30.824105, 73.457112")</f>
      </c>
      <c r="G92" s="1" t="inlineStr">
        <is>
          <t>1.91</t>
        </is>
      </c>
      <c r="H92" s="1" t="inlineStr">
        <is>
          <t>30</t>
        </is>
      </c>
      <c r="I92" s="1" t="inlineStr">
        <is>
          <t>12.4</t>
        </is>
      </c>
    </row>
    <row collapsed="false" customFormat="false" customHeight="false" hidden="false" ht="12.1" outlineLevel="0" r="93">
      <c r="A93" s="1" t="inlineStr">
        <is>
          <t>88</t>
        </is>
      </c>
      <c r="B93" s="1" t="inlineStr">
        <is>
          <t>2025-12-12 14:47:01</t>
        </is>
      </c>
      <c r="C93" s="1" t="inlineStr">
        <is>
          <t>2025-12-12 14:50:06</t>
        </is>
      </c>
      <c r="D93" s="1" t="inlineStr">
        <is>
          <t>3m</t>
        </is>
      </c>
      <c r="E93" s="1" t="s">
        <f>=HYPERLINK("https://www.google.com/maps?q=30.824183,73.456963", "30.824183, 73.456963")</f>
      </c>
      <c r="F93" s="1" t="s">
        <f>=HYPERLINK("https://www.google.com/maps?q=30.824090,73.451335", "30.824090, 73.451335")</f>
      </c>
      <c r="G93" s="1" t="inlineStr">
        <is>
          <t>0.81</t>
        </is>
      </c>
      <c r="H93" s="1" t="inlineStr">
        <is>
          <t>30</t>
        </is>
      </c>
      <c r="I93" s="1" t="inlineStr">
        <is>
          <t>13.2</t>
        </is>
      </c>
    </row>
    <row collapsed="false" customFormat="false" customHeight="false" hidden="false" ht="12.1" outlineLevel="0" r="94">
      <c r="A94" s="1" t="inlineStr">
        <is>
          <t>89</t>
        </is>
      </c>
      <c r="B94" s="1" t="inlineStr">
        <is>
          <t>2025-12-12 15:01:59</t>
        </is>
      </c>
      <c r="C94" s="1" t="inlineStr">
        <is>
          <t>2025-12-12 15:05:35</t>
        </is>
      </c>
      <c r="D94" s="1" t="inlineStr">
        <is>
          <t>3m</t>
        </is>
      </c>
      <c r="E94" s="1" t="s">
        <f>=HYPERLINK("https://www.google.com/maps?q=30.824252,73.451332", "30.824252, 73.451332")</f>
      </c>
      <c r="F94" s="1" t="s">
        <f>=HYPERLINK("https://www.google.com/maps?q=30.825953,73.454882", "30.825953, 73.454882")</f>
      </c>
      <c r="G94" s="1" t="inlineStr">
        <is>
          <t>0.59</t>
        </is>
      </c>
      <c r="H94" s="1" t="inlineStr">
        <is>
          <t>21</t>
        </is>
      </c>
      <c r="I94" s="1" t="inlineStr">
        <is>
          <t>10.5</t>
        </is>
      </c>
    </row>
    <row collapsed="false" customFormat="false" customHeight="false" hidden="false" ht="12.1" outlineLevel="0" r="95">
      <c r="A95" s="1" t="inlineStr">
        <is>
          <t>90</t>
        </is>
      </c>
      <c r="B95" s="1" t="inlineStr">
        <is>
          <t>2025-12-12 15:16:43</t>
        </is>
      </c>
      <c r="C95" s="1" t="inlineStr">
        <is>
          <t>2025-12-12 15:19:42</t>
        </is>
      </c>
      <c r="D95" s="1" t="inlineStr">
        <is>
          <t>2m</t>
        </is>
      </c>
      <c r="E95" s="1" t="s">
        <f>=HYPERLINK("https://www.google.com/maps?q=30.826095,73.454925", "30.826095, 73.454925")</f>
      </c>
      <c r="F95" s="1" t="s">
        <f>=HYPERLINK("https://www.google.com/maps?q=30.824160,73.457062", "30.824160, 73.457062")</f>
      </c>
      <c r="G95" s="1" t="inlineStr">
        <is>
          <t>0.45</t>
        </is>
      </c>
      <c r="H95" s="1" t="inlineStr">
        <is>
          <t>20</t>
        </is>
      </c>
      <c r="I95" s="1" t="inlineStr">
        <is>
          <t>9.4</t>
        </is>
      </c>
    </row>
    <row collapsed="false" customFormat="false" customHeight="false" hidden="false" ht="12.1" outlineLevel="0" r="96">
      <c r="A96" s="1" t="inlineStr">
        <is>
          <t>91</t>
        </is>
      </c>
      <c r="B96" s="1" t="inlineStr">
        <is>
          <t>2025-12-12 18:32:56</t>
        </is>
      </c>
      <c r="C96" s="1" t="inlineStr">
        <is>
          <t>2025-12-12 18:40:51</t>
        </is>
      </c>
      <c r="D96" s="1" t="inlineStr">
        <is>
          <t>7m</t>
        </is>
      </c>
      <c r="E96" s="1" t="s">
        <f>=HYPERLINK("https://www.google.com/maps?q=30.824062,73.457082", "30.824062, 73.457082")</f>
      </c>
      <c r="F96" s="1" t="s">
        <f>=HYPERLINK("https://www.google.com/maps?q=30.815475,73.446953", "30.815475, 73.446953")</f>
      </c>
      <c r="G96" s="1" t="inlineStr">
        <is>
          <t>2.28</t>
        </is>
      </c>
      <c r="H96" s="1" t="inlineStr">
        <is>
          <t>62</t>
        </is>
      </c>
      <c r="I96" s="1" t="inlineStr">
        <is>
          <t>16.3</t>
        </is>
      </c>
    </row>
    <row collapsed="false" customFormat="false" customHeight="false" hidden="false" ht="12.1" outlineLevel="0" r="97">
      <c r="A97" s="1" t="inlineStr">
        <is>
          <t>92</t>
        </is>
      </c>
      <c r="B97" s="1" t="inlineStr">
        <is>
          <t>2025-12-12 18:48:16</t>
        </is>
      </c>
      <c r="C97" s="1" t="inlineStr">
        <is>
          <t>2025-12-12 18:55:52</t>
        </is>
      </c>
      <c r="D97" s="1" t="inlineStr">
        <is>
          <t>7m</t>
        </is>
      </c>
      <c r="E97" s="1" t="s">
        <f>=HYPERLINK("https://www.google.com/maps?q=30.815407,73.446952", "30.815407, 73.446952")</f>
      </c>
      <c r="F97" s="1" t="s">
        <f>=HYPERLINK("https://www.google.com/maps?q=30.824062,73.456963", "30.824062, 73.456963")</f>
      </c>
      <c r="G97" s="1" t="inlineStr">
        <is>
          <t>1.82</t>
        </is>
      </c>
      <c r="H97" s="1" t="inlineStr">
        <is>
          <t>47</t>
        </is>
      </c>
      <c r="I97" s="1" t="inlineStr">
        <is>
          <t>12</t>
        </is>
      </c>
    </row>
    <row collapsed="false" customFormat="false" customHeight="false" hidden="false" ht="12.1" outlineLevel="0" r="98">
      <c r="A98" s="1" t="inlineStr">
        <is>
          <t>93</t>
        </is>
      </c>
      <c r="B98" s="1" t="inlineStr">
        <is>
          <t>2025-12-12 19:17:27</t>
        </is>
      </c>
      <c r="C98" s="1" t="inlineStr">
        <is>
          <t>2025-12-12 19:17:44</t>
        </is>
      </c>
      <c r="D98" s="1" t="inlineStr">
        <is>
          <t>0m</t>
        </is>
      </c>
      <c r="E98" s="1" t="s">
        <f>=HYPERLINK("https://www.google.com/maps?q=30.824107,73.457047", "30.824107, 73.457047")</f>
      </c>
      <c r="F98" s="1" t="s">
        <f>=HYPERLINK("https://www.google.com/maps?q=30.824132,73.456982", "30.824132, 73.456982")</f>
      </c>
      <c r="G98" s="1" t="inlineStr">
        <is>
          <t>0.01</t>
        </is>
      </c>
      <c r="H98" s="1" t="inlineStr">
        <is>
          <t>6</t>
        </is>
      </c>
      <c r="I98" s="1" t="inlineStr">
        <is>
          <t>6</t>
        </is>
      </c>
    </row>
    <row collapsed="false" customFormat="false" customHeight="false" hidden="false" ht="12.1" outlineLevel="0" r="99">
      <c r="A99" s="1" t="inlineStr">
        <is>
          <t>94</t>
        </is>
      </c>
      <c r="B99" s="1" t="inlineStr">
        <is>
          <t>2025-12-12 19:34:47</t>
        </is>
      </c>
      <c r="C99" s="1" t="inlineStr">
        <is>
          <t>2025-12-12 19:34:52</t>
        </is>
      </c>
      <c r="D99" s="1" t="inlineStr">
        <is>
          <t>0m</t>
        </is>
      </c>
      <c r="E99" s="1" t="s">
        <f>=HYPERLINK("https://www.google.com/maps?q=30.824070,73.456927", "30.824070, 73.456927")</f>
      </c>
      <c r="F99" s="1" t="s">
        <f>=HYPERLINK("https://www.google.com/maps?q=30.824015,73.456867", "30.824015, 73.456867")</f>
      </c>
      <c r="G99" s="1" t="inlineStr">
        <is>
          <t>0.01</t>
        </is>
      </c>
      <c r="H99" s="1" t="inlineStr">
        <is>
          <t>8</t>
        </is>
      </c>
      <c r="I99" s="1" t="inlineStr">
        <is>
          <t>7.3</t>
        </is>
      </c>
    </row>
    <row collapsed="false" customFormat="false" customHeight="false" hidden="false" ht="12.1" outlineLevel="0" r="100">
      <c r="A100" s="1" t="inlineStr">
        <is>
          <t>95</t>
        </is>
      </c>
      <c r="B100" s="1" t="inlineStr">
        <is>
          <t>2025-12-12 19:37:05</t>
        </is>
      </c>
      <c r="C100" s="1" t="inlineStr">
        <is>
          <t>2025-12-12 19:51:13</t>
        </is>
      </c>
      <c r="D100" s="1" t="inlineStr">
        <is>
          <t>14m</t>
        </is>
      </c>
      <c r="E100" s="1" t="s">
        <f>=HYPERLINK("https://www.google.com/maps?q=30.824038,73.456768", "30.824038, 73.456768")</f>
      </c>
      <c r="F100" s="1" t="s">
        <f>=HYPERLINK("https://www.google.com/maps?q=30.800813,73.434102", "30.800813, 73.434102")</f>
      </c>
      <c r="G100" s="1" t="inlineStr">
        <is>
          <t>4.99</t>
        </is>
      </c>
      <c r="H100" s="1" t="inlineStr">
        <is>
          <t>43</t>
        </is>
      </c>
      <c r="I100" s="1" t="inlineStr">
        <is>
          <t>17.5</t>
        </is>
      </c>
    </row>
    <row collapsed="false" customFormat="false" customHeight="false" hidden="false" ht="12.1" outlineLevel="0" r="101">
      <c r="A101" s="1" t="inlineStr">
        <is>
          <t>96</t>
        </is>
      </c>
      <c r="B101" s="1" t="inlineStr">
        <is>
          <t>2025-12-12 19:56:43</t>
        </is>
      </c>
      <c r="C101" s="1" t="inlineStr">
        <is>
          <t>2025-12-12 19:57:23</t>
        </is>
      </c>
      <c r="D101" s="1" t="inlineStr">
        <is>
          <t>0m</t>
        </is>
      </c>
      <c r="E101" s="1" t="s">
        <f>=HYPERLINK("https://www.google.com/maps?q=30.800863,73.434237", "30.800863, 73.434237")</f>
      </c>
      <c r="F101" s="1" t="s">
        <f>=HYPERLINK("https://www.google.com/maps?q=30.801173,73.434085", "30.801173, 73.434085")</f>
      </c>
      <c r="G101" s="1" t="inlineStr">
        <is>
          <t>0.07</t>
        </is>
      </c>
      <c r="H101" s="1" t="inlineStr">
        <is>
          <t>11</t>
        </is>
      </c>
      <c r="I101" s="1" t="inlineStr">
        <is>
          <t>8</t>
        </is>
      </c>
    </row>
    <row collapsed="false" customFormat="false" customHeight="false" hidden="false" ht="12.1" outlineLevel="0" r="102">
      <c r="A102" s="1" t="inlineStr">
        <is>
          <t>97</t>
        </is>
      </c>
      <c r="B102" s="1" t="inlineStr">
        <is>
          <t>2025-12-12 21:53:21</t>
        </is>
      </c>
      <c r="C102" s="1" t="inlineStr">
        <is>
          <t>2025-12-12 22:05:28</t>
        </is>
      </c>
      <c r="D102" s="1" t="inlineStr">
        <is>
          <t>12m</t>
        </is>
      </c>
      <c r="E102" s="1" t="s">
        <f>=HYPERLINK("https://www.google.com/maps?q=30.801145,73.434093", "30.801145, 73.434093")</f>
      </c>
      <c r="F102" s="1" t="s">
        <f>=HYPERLINK("https://www.google.com/maps?q=30.824050,73.457178", "30.824050, 73.457178")</f>
      </c>
      <c r="G102" s="1" t="inlineStr">
        <is>
          <t>5.03</t>
        </is>
      </c>
      <c r="H102" s="1" t="inlineStr">
        <is>
          <t>61</t>
        </is>
      </c>
      <c r="I102" s="1" t="inlineStr">
        <is>
          <t>22.4</t>
        </is>
      </c>
    </row>
    <row collapsed="false" customFormat="false" customHeight="false" hidden="false" ht="12.1" outlineLevel="0" r="103">
      <c r="A103" s="1" t="inlineStr">
        <is>
          <t>98</t>
        </is>
      </c>
      <c r="B103" s="1" t="inlineStr">
        <is>
          <t>2025-12-13 11:47:36</t>
        </is>
      </c>
      <c r="C103" s="1" t="inlineStr">
        <is>
          <t>2025-12-13 12:01:29</t>
        </is>
      </c>
      <c r="D103" s="1" t="inlineStr">
        <is>
          <t>13m</t>
        </is>
      </c>
      <c r="E103" s="1" t="s">
        <f>=HYPERLINK("https://www.google.com/maps?q=30.824153,73.457080", "30.824153, 73.457080")</f>
      </c>
      <c r="F103" s="1" t="s">
        <f>=HYPERLINK("https://www.google.com/maps?q=30.800292,73.432348", "30.800292, 73.432348")</f>
      </c>
      <c r="G103" s="1" t="inlineStr">
        <is>
          <t>5.05</t>
        </is>
      </c>
      <c r="H103" s="1" t="inlineStr">
        <is>
          <t>58</t>
        </is>
      </c>
      <c r="I103" s="1" t="inlineStr">
        <is>
          <t>19.5</t>
        </is>
      </c>
    </row>
    <row collapsed="false" customFormat="false" customHeight="false" hidden="false" ht="12.1" outlineLevel="0" r="104">
      <c r="A104" s="1" t="inlineStr">
        <is>
          <t>99</t>
        </is>
      </c>
      <c r="B104" s="1" t="inlineStr">
        <is>
          <t>2025-12-13 12:07:33</t>
        </is>
      </c>
      <c r="C104" s="1" t="inlineStr">
        <is>
          <t>2025-12-13 12:17:28</t>
        </is>
      </c>
      <c r="D104" s="1" t="inlineStr">
        <is>
          <t>9m</t>
        </is>
      </c>
      <c r="E104" s="1" t="s">
        <f>=HYPERLINK("https://www.google.com/maps?q=30.800360,73.432355", "30.800360, 73.432355")</f>
      </c>
      <c r="F104" s="1" t="s">
        <f>=HYPERLINK("https://www.google.com/maps?q=30.809455,73.449403", "30.809455, 73.449403")</f>
      </c>
      <c r="G104" s="1" t="inlineStr">
        <is>
          <t>2.63</t>
        </is>
      </c>
      <c r="H104" s="1" t="inlineStr">
        <is>
          <t>40</t>
        </is>
      </c>
      <c r="I104" s="1" t="inlineStr">
        <is>
          <t>13</t>
        </is>
      </c>
    </row>
    <row collapsed="false" customFormat="false" customHeight="false" hidden="false" ht="12.1" outlineLevel="0" r="105">
      <c r="A105" s="1" t="inlineStr">
        <is>
          <t>100</t>
        </is>
      </c>
      <c r="B105" s="1" t="inlineStr">
        <is>
          <t>2025-12-13 12:29:11</t>
        </is>
      </c>
      <c r="C105" s="1" t="inlineStr">
        <is>
          <t>2025-12-13 12:30:41</t>
        </is>
      </c>
      <c r="D105" s="1" t="inlineStr">
        <is>
          <t>1m</t>
        </is>
      </c>
      <c r="E105" s="1" t="s">
        <f>=HYPERLINK("https://www.google.com/maps?q=30.809392,73.449445", "30.809392, 73.449445")</f>
      </c>
      <c r="F105" s="1" t="s">
        <f>=HYPERLINK("https://www.google.com/maps?q=30.809262,73.447517", "30.809262, 73.447517")</f>
      </c>
      <c r="G105" s="1" t="inlineStr">
        <is>
          <t>0.27</t>
        </is>
      </c>
      <c r="H105" s="1" t="inlineStr">
        <is>
          <t>19</t>
        </is>
      </c>
      <c r="I105" s="1" t="inlineStr">
        <is>
          <t>9.7</t>
        </is>
      </c>
    </row>
    <row collapsed="false" customFormat="false" customHeight="false" hidden="false" ht="12.1" outlineLevel="0" r="106">
      <c r="A106" s="1" t="inlineStr">
        <is>
          <t>101</t>
        </is>
      </c>
      <c r="B106" s="1" t="inlineStr">
        <is>
          <t>2025-12-13 12:41:39</t>
        </is>
      </c>
      <c r="C106" s="1" t="inlineStr">
        <is>
          <t>2025-12-13 12:44:00</t>
        </is>
      </c>
      <c r="D106" s="1" t="inlineStr">
        <is>
          <t>2m</t>
        </is>
      </c>
      <c r="E106" s="1" t="s">
        <f>=HYPERLINK("https://www.google.com/maps?q=30.809208,73.447307", "30.809208, 73.447307")</f>
      </c>
      <c r="F106" s="1" t="s">
        <f>=HYPERLINK("https://www.google.com/maps?q=30.809422,73.449398", "30.809422, 73.449398")</f>
      </c>
      <c r="G106" s="1" t="inlineStr">
        <is>
          <t>0.35</t>
        </is>
      </c>
      <c r="H106" s="1" t="inlineStr">
        <is>
          <t>24</t>
        </is>
      </c>
      <c r="I106" s="1" t="inlineStr">
        <is>
          <t>10.9</t>
        </is>
      </c>
    </row>
    <row collapsed="false" customFormat="false" customHeight="false" hidden="false" ht="12.1" outlineLevel="0" r="107">
      <c r="A107" s="1" t="inlineStr">
        <is>
          <t>102</t>
        </is>
      </c>
      <c r="B107" s="1" t="inlineStr">
        <is>
          <t>2025-12-13 12:47:01</t>
        </is>
      </c>
      <c r="C107" s="1" t="inlineStr">
        <is>
          <t>2025-12-13 12:49:44</t>
        </is>
      </c>
      <c r="D107" s="1" t="inlineStr">
        <is>
          <t>2m</t>
        </is>
      </c>
      <c r="E107" s="1" t="s">
        <f>=HYPERLINK("https://www.google.com/maps?q=30.809483,73.449668", "30.809483, 73.449668")</f>
      </c>
      <c r="F107" s="1" t="s">
        <f>=HYPERLINK("https://www.google.com/maps?q=30.808093,73.448412", "30.808093, 73.448412")</f>
      </c>
      <c r="G107" s="1" t="inlineStr">
        <is>
          <t>0.78</t>
        </is>
      </c>
      <c r="H107" s="1" t="inlineStr">
        <is>
          <t>37</t>
        </is>
      </c>
      <c r="I107" s="1" t="inlineStr">
        <is>
          <t>13.6</t>
        </is>
      </c>
    </row>
    <row collapsed="false" customFormat="false" customHeight="false" hidden="false" ht="12.1" outlineLevel="0" r="108">
      <c r="A108" s="1" t="inlineStr">
        <is>
          <t>103</t>
        </is>
      </c>
      <c r="B108" s="1" t="inlineStr">
        <is>
          <t>2025-12-13 12:55:57</t>
        </is>
      </c>
      <c r="C108" s="1" t="inlineStr">
        <is>
          <t>2025-12-13 12:56:50</t>
        </is>
      </c>
      <c r="D108" s="1" t="inlineStr">
        <is>
          <t>0m</t>
        </is>
      </c>
      <c r="E108" s="1" t="s">
        <f>=HYPERLINK("https://www.google.com/maps?q=30.808073,73.448387", "30.808073, 73.448387")</f>
      </c>
      <c r="F108" s="1" t="s">
        <f>=HYPERLINK("https://www.google.com/maps?q=30.809038,73.450642", "30.809038, 73.450642")</f>
      </c>
      <c r="G108" s="1" t="inlineStr">
        <is>
          <t>0.25</t>
        </is>
      </c>
      <c r="H108" s="1" t="inlineStr">
        <is>
          <t>23</t>
        </is>
      </c>
      <c r="I108" s="1" t="inlineStr">
        <is>
          <t>13.5</t>
        </is>
      </c>
    </row>
    <row collapsed="false" customFormat="false" customHeight="false" hidden="false" ht="12.1" outlineLevel="0" r="109">
      <c r="A109" s="1" t="inlineStr">
        <is>
          <t>104</t>
        </is>
      </c>
      <c r="B109" s="1" t="inlineStr">
        <is>
          <t>2025-12-13 12:59:12</t>
        </is>
      </c>
      <c r="C109" s="1" t="inlineStr">
        <is>
          <t>2025-12-13 13:10:16</t>
        </is>
      </c>
      <c r="D109" s="1" t="inlineStr">
        <is>
          <t>11m</t>
        </is>
      </c>
      <c r="E109" s="1" t="s">
        <f>=HYPERLINK("https://www.google.com/maps?q=30.809170,73.450765", "30.809170, 73.450765")</f>
      </c>
      <c r="F109" s="1" t="s">
        <f>=HYPERLINK("https://www.google.com/maps?q=30.824203,73.457042", "30.824203, 73.457042")</f>
      </c>
      <c r="G109" s="1" t="inlineStr">
        <is>
          <t>3.17</t>
        </is>
      </c>
      <c r="H109" s="1" t="inlineStr">
        <is>
          <t>51</t>
        </is>
      </c>
      <c r="I109" s="1" t="inlineStr">
        <is>
          <t>14.7</t>
        </is>
      </c>
    </row>
    <row collapsed="false" customFormat="false" customHeight="false" hidden="false" ht="12.1" outlineLevel="0" r="110">
      <c r="A110" s="1" t="inlineStr">
        <is>
          <t>105</t>
        </is>
      </c>
      <c r="B110" s="1" t="inlineStr">
        <is>
          <t>2025-12-13 13:23:57</t>
        </is>
      </c>
      <c r="C110" s="1" t="inlineStr">
        <is>
          <t>2025-12-13 13:35:45</t>
        </is>
      </c>
      <c r="D110" s="1" t="inlineStr">
        <is>
          <t>11m</t>
        </is>
      </c>
      <c r="E110" s="1" t="s">
        <f>=HYPERLINK("https://www.google.com/maps?q=30.824350,73.457062", "30.824350, 73.457062")</f>
      </c>
      <c r="F110" s="1" t="s">
        <f>=HYPERLINK("https://www.google.com/maps?q=30.832495,73.497768", "30.832495, 73.497768")</f>
      </c>
      <c r="G110" s="1" t="inlineStr">
        <is>
          <t>4.91</t>
        </is>
      </c>
      <c r="H110" s="1" t="inlineStr">
        <is>
          <t>53</t>
        </is>
      </c>
      <c r="I110" s="1" t="inlineStr">
        <is>
          <t>19.5</t>
        </is>
      </c>
    </row>
    <row collapsed="false" customFormat="false" customHeight="false" hidden="false" ht="12.1" outlineLevel="0" r="111">
      <c r="A111" s="1" t="inlineStr">
        <is>
          <t>106</t>
        </is>
      </c>
      <c r="B111" s="1" t="inlineStr">
        <is>
          <t>2025-12-13 13:42:35</t>
        </is>
      </c>
      <c r="C111" s="1" t="inlineStr">
        <is>
          <t>2025-12-13 13:54:55</t>
        </is>
      </c>
      <c r="D111" s="1" t="inlineStr">
        <is>
          <t>12m</t>
        </is>
      </c>
      <c r="E111" s="1" t="s">
        <f>=HYPERLINK("https://www.google.com/maps?q=30.831892,73.498213", "30.831892, 73.498213")</f>
      </c>
      <c r="F111" s="1" t="s">
        <f>=HYPERLINK("https://www.google.com/maps?q=30.874205,73.607308", "30.874205, 73.607308")</f>
      </c>
      <c r="G111" s="1" t="inlineStr">
        <is>
          <t>12.24</t>
        </is>
      </c>
      <c r="H111" s="1" t="inlineStr">
        <is>
          <t>77</t>
        </is>
      </c>
      <c r="I111" s="1" t="inlineStr">
        <is>
          <t>58</t>
        </is>
      </c>
    </row>
    <row collapsed="false" customFormat="false" customHeight="false" hidden="false" ht="12.1" outlineLevel="0" r="112">
      <c r="A112" s="1" t="inlineStr">
        <is>
          <t>107</t>
        </is>
      </c>
      <c r="B112" s="1" t="inlineStr">
        <is>
          <t>2025-12-13 13:56:14</t>
        </is>
      </c>
      <c r="C112" s="1" t="inlineStr">
        <is>
          <t>2025-12-13 13:56:23</t>
        </is>
      </c>
      <c r="D112" s="1" t="inlineStr">
        <is>
          <t>0m</t>
        </is>
      </c>
      <c r="E112" s="1" t="s">
        <f>=HYPERLINK("https://www.google.com/maps?q=30.874310,73.607273", "30.874310, 73.607273")</f>
      </c>
      <c r="F112" s="1" t="s">
        <f>=HYPERLINK("https://www.google.com/maps?q=30.874475,73.607717", "30.874475, 73.607717")</f>
      </c>
      <c r="G112" s="1" t="inlineStr">
        <is>
          <t>0.05</t>
        </is>
      </c>
      <c r="H112" s="1" t="inlineStr">
        <is>
          <t>17</t>
        </is>
      </c>
      <c r="I112" s="1" t="inlineStr">
        <is>
          <t>12.5</t>
        </is>
      </c>
    </row>
    <row collapsed="false" customFormat="false" customHeight="false" hidden="false" ht="12.1" outlineLevel="0" r="113">
      <c r="A113" s="1" t="inlineStr">
        <is>
          <t>108</t>
        </is>
      </c>
      <c r="B113" s="1" t="inlineStr">
        <is>
          <t>2025-12-13 13:59:08</t>
        </is>
      </c>
      <c r="C113" s="1" t="inlineStr">
        <is>
          <t>2025-12-13 14:31:25</t>
        </is>
      </c>
      <c r="D113" s="1" t="inlineStr">
        <is>
          <t>32m</t>
        </is>
      </c>
      <c r="E113" s="1" t="s">
        <f>=HYPERLINK("https://www.google.com/maps?q=30.874560,73.607810", "30.874560, 73.607810")</f>
      </c>
      <c r="F113" s="1" t="s">
        <f>=HYPERLINK("https://www.google.com/maps?q=30.800332,73.432973", "30.800332, 73.432973")</f>
      </c>
      <c r="G113" s="1" t="inlineStr">
        <is>
          <t>33.57</t>
        </is>
      </c>
      <c r="H113" s="1" t="inlineStr">
        <is>
          <t>95</t>
        </is>
      </c>
      <c r="I113" s="1" t="inlineStr">
        <is>
          <t>61.7</t>
        </is>
      </c>
    </row>
    <row collapsed="false" customFormat="false" customHeight="false" hidden="false" ht="12.1" outlineLevel="0" r="114">
      <c r="A114" s="1" t="inlineStr">
        <is>
          <t>109</t>
        </is>
      </c>
      <c r="B114" s="1" t="inlineStr">
        <is>
          <t>2025-12-13 14:46:19</t>
        </is>
      </c>
      <c r="C114" s="1" t="inlineStr">
        <is>
          <t>2025-12-13 14:56:50</t>
        </is>
      </c>
      <c r="D114" s="1" t="inlineStr">
        <is>
          <t>10m</t>
        </is>
      </c>
      <c r="E114" s="1" t="s">
        <f>=HYPERLINK("https://www.google.com/maps?q=30.800165,73.432875", "30.800165, 73.432875")</f>
      </c>
      <c r="F114" s="1" t="s">
        <f>=HYPERLINK("https://www.google.com/maps?q=30.824275,73.457058", "30.824275, 73.457058")</f>
      </c>
      <c r="G114" s="1" t="inlineStr">
        <is>
          <t>4.67</t>
        </is>
      </c>
      <c r="H114" s="1" t="inlineStr">
        <is>
          <t>69</t>
        </is>
      </c>
      <c r="I114" s="1" t="inlineStr">
        <is>
          <t>21.4</t>
        </is>
      </c>
    </row>
    <row collapsed="false" customFormat="false" customHeight="false" hidden="false" ht="12.1" outlineLevel="0" r="115">
      <c r="A115" s="1" t="inlineStr">
        <is>
          <t>110</t>
        </is>
      </c>
      <c r="B115" s="1" t="inlineStr">
        <is>
          <t>2025-12-13 15:02:28</t>
        </is>
      </c>
      <c r="C115" s="1" t="inlineStr">
        <is>
          <t>2025-12-13 15:02:28</t>
        </is>
      </c>
      <c r="D115" s="1" t="inlineStr">
        <is>
          <t>0m</t>
        </is>
      </c>
      <c r="E115" s="1" t="s">
        <f>=HYPERLINK("https://www.google.com/maps?q=30.824240,73.457052", "30.824240, 73.457052")</f>
      </c>
      <c r="F115" s="1" t="s">
        <f>=HYPERLINK("https://www.google.com/maps?q=30.824240,73.457052", "30.824240, 73.457052")</f>
      </c>
      <c r="G115" s="1" t="inlineStr">
        <is>
          <t>0</t>
        </is>
      </c>
      <c r="H115" s="1" t="inlineStr">
        <is>
          <t>7</t>
        </is>
      </c>
      <c r="I115" s="1" t="inlineStr">
        <is>
          <t>7</t>
        </is>
      </c>
    </row>
    <row collapsed="false" customFormat="false" customHeight="false" hidden="false" ht="12.1" outlineLevel="0" r="116">
      <c r="A116" s="1" t="inlineStr">
        <is>
          <t>111</t>
        </is>
      </c>
      <c r="B116" s="1" t="inlineStr">
        <is>
          <t>2025-12-13 15:03:37</t>
        </is>
      </c>
      <c r="C116" s="1" t="inlineStr">
        <is>
          <t>2025-12-13 15:13:19</t>
        </is>
      </c>
      <c r="D116" s="1" t="inlineStr">
        <is>
          <t>9m</t>
        </is>
      </c>
      <c r="E116" s="1" t="s">
        <f>=HYPERLINK("https://www.google.com/maps?q=30.824382,73.457097", "30.824382, 73.457097")</f>
      </c>
      <c r="F116" s="1" t="s">
        <f>=HYPERLINK("https://www.google.com/maps?q=30.832523,73.500352", "30.832523, 73.500352")</f>
      </c>
      <c r="G116" s="1" t="inlineStr">
        <is>
          <t>5.26</t>
        </is>
      </c>
      <c r="H116" s="1" t="inlineStr">
        <is>
          <t>68</t>
        </is>
      </c>
      <c r="I116" s="1" t="inlineStr">
        <is>
          <t>26.1</t>
        </is>
      </c>
    </row>
    <row collapsed="false" customFormat="false" customHeight="false" hidden="false" ht="12.1" outlineLevel="0" r="117">
      <c r="A117" s="1" t="inlineStr">
        <is>
          <t>112</t>
        </is>
      </c>
      <c r="B117" s="1" t="inlineStr">
        <is>
          <t>2025-12-13 15:14:42</t>
        </is>
      </c>
      <c r="C117" s="1" t="inlineStr">
        <is>
          <t>2025-12-13 17:31:11</t>
        </is>
      </c>
      <c r="D117" s="1" t="inlineStr">
        <is>
          <t>2h 16m</t>
        </is>
      </c>
      <c r="E117" s="1" t="s">
        <f>=HYPERLINK("https://www.google.com/maps?q=30.832537,73.500383", "30.832537, 73.500383")</f>
      </c>
      <c r="F117" s="1" t="s">
        <f>=HYPERLINK("https://www.google.com/maps?q=31.620425,74.169795", "31.620425, 74.169795")</f>
      </c>
      <c r="G117" s="1" t="inlineStr">
        <is>
          <t>137.61</t>
        </is>
      </c>
      <c r="H117" s="1" t="inlineStr">
        <is>
          <t>96</t>
        </is>
      </c>
      <c r="I117" s="1" t="inlineStr">
        <is>
          <t>60.2</t>
        </is>
      </c>
    </row>
    <row collapsed="false" customFormat="false" customHeight="false" hidden="false" ht="12.1" outlineLevel="0" r="118">
      <c r="A118" s="1" t="inlineStr">
        <is>
          <t>113</t>
        </is>
      </c>
      <c r="B118" s="1" t="inlineStr">
        <is>
          <t>2025-12-13 18:35:39</t>
        </is>
      </c>
      <c r="C118" s="1" t="inlineStr">
        <is>
          <t>2025-12-13 18:46:05</t>
        </is>
      </c>
      <c r="D118" s="1" t="inlineStr">
        <is>
          <t>10m</t>
        </is>
      </c>
      <c r="E118" s="1" t="s">
        <f>=HYPERLINK("https://www.google.com/maps?q=31.620350,74.170002", "31.620350, 74.170002")</f>
      </c>
      <c r="F118" s="1" t="s">
        <f>=HYPERLINK("https://www.google.com/maps?q=31.643773,74.182880", "31.643773, 74.182880")</f>
      </c>
      <c r="G118" s="1" t="inlineStr">
        <is>
          <t>3.58</t>
        </is>
      </c>
      <c r="H118" s="1" t="inlineStr">
        <is>
          <t>44</t>
        </is>
      </c>
      <c r="I118" s="1" t="inlineStr">
        <is>
          <t>17.6</t>
        </is>
      </c>
    </row>
    <row collapsed="false" customFormat="false" customHeight="false" hidden="false" ht="12.1" outlineLevel="0" r="119">
      <c r="A119" s="1" t="inlineStr">
        <is>
          <t>114</t>
        </is>
      </c>
      <c r="B119" s="1" t="inlineStr">
        <is>
          <t>2025-12-13 18:51:31</t>
        </is>
      </c>
      <c r="C119" s="1" t="inlineStr">
        <is>
          <t>2025-12-13 19:09:22</t>
        </is>
      </c>
      <c r="D119" s="1" t="inlineStr">
        <is>
          <t>17m</t>
        </is>
      </c>
      <c r="E119" s="1" t="s">
        <f>=HYPERLINK("https://www.google.com/maps?q=31.644102,74.182473", "31.644102, 74.182473")</f>
      </c>
      <c r="F119" s="1" t="s">
        <f>=HYPERLINK("https://www.google.com/maps?q=31.558355,74.241180", "31.558355, 74.241180")</f>
      </c>
      <c r="G119" s="1" t="inlineStr">
        <is>
          <t>14.12</t>
        </is>
      </c>
      <c r="H119" s="1" t="inlineStr">
        <is>
          <t>72</t>
        </is>
      </c>
      <c r="I119" s="1" t="inlineStr">
        <is>
          <t>44.7</t>
        </is>
      </c>
    </row>
    <row collapsed="false" customFormat="false" customHeight="false" hidden="false" ht="12.1" outlineLevel="0" r="120">
      <c r="A120" s="1" t="inlineStr">
        <is>
          <t>115</t>
        </is>
      </c>
      <c r="B120" s="1" t="inlineStr">
        <is>
          <t>2025-12-13 19:11:31</t>
        </is>
      </c>
      <c r="C120" s="1" t="inlineStr">
        <is>
          <t>2025-12-13 19:11:31</t>
        </is>
      </c>
      <c r="D120" s="1" t="inlineStr">
        <is>
          <t>0m</t>
        </is>
      </c>
      <c r="E120" s="1" t="s">
        <f>=HYPERLINK("https://www.google.com/maps?q=31.558280,74.241443", "31.558280, 74.241443")</f>
      </c>
      <c r="F120" s="1" t="s">
        <f>=HYPERLINK("https://www.google.com/maps?q=31.558280,74.241443", "31.558280, 74.241443")</f>
      </c>
      <c r="G120" s="1" t="inlineStr">
        <is>
          <t>0</t>
        </is>
      </c>
      <c r="H120" s="1" t="inlineStr">
        <is>
          <t>8</t>
        </is>
      </c>
      <c r="I120" s="1" t="inlineStr">
        <is>
          <t>8</t>
        </is>
      </c>
    </row>
    <row collapsed="false" customFormat="false" customHeight="false" hidden="false" ht="12.1" outlineLevel="0" r="121">
      <c r="A121" s="1" t="inlineStr">
        <is>
          <t>116</t>
        </is>
      </c>
      <c r="B121" s="1" t="inlineStr">
        <is>
          <t>2025-12-13 19:16:03</t>
        </is>
      </c>
      <c r="C121" s="1" t="inlineStr">
        <is>
          <t>2025-12-13 19:32:58</t>
        </is>
      </c>
      <c r="D121" s="1" t="inlineStr">
        <is>
          <t>16m</t>
        </is>
      </c>
      <c r="E121" s="1" t="s">
        <f>=HYPERLINK("https://www.google.com/maps?q=31.558093,74.241752", "31.558093, 74.241752")</f>
      </c>
      <c r="F121" s="1" t="s">
        <f>=HYPERLINK("https://www.google.com/maps?q=31.462452,74.224543", "31.462452, 74.224543")</f>
      </c>
      <c r="G121" s="1" t="inlineStr">
        <is>
          <t>13.33</t>
        </is>
      </c>
      <c r="H121" s="1" t="inlineStr">
        <is>
          <t>78</t>
        </is>
      </c>
      <c r="I121" s="1" t="inlineStr">
        <is>
          <t>48.1</t>
        </is>
      </c>
    </row>
    <row collapsed="false" customFormat="false" customHeight="false" hidden="false" ht="12.1" outlineLevel="0" r="122">
      <c r="A122" s="1" t="inlineStr">
        <is>
          <t>117</t>
        </is>
      </c>
      <c r="B122" s="1" t="inlineStr">
        <is>
          <t>2025-12-13 19:34:06</t>
        </is>
      </c>
      <c r="C122" s="1" t="inlineStr">
        <is>
          <t>2025-12-13 20:02:18</t>
        </is>
      </c>
      <c r="D122" s="1" t="inlineStr">
        <is>
          <t>28m</t>
        </is>
      </c>
      <c r="E122" s="1" t="s">
        <f>=HYPERLINK("https://www.google.com/maps?q=31.462497,74.224465", "31.462497, 74.224465")</f>
      </c>
      <c r="F122" s="1" t="s">
        <f>=HYPERLINK("https://www.google.com/maps?q=31.269362,74.041947", "31.269362, 74.041947")</f>
      </c>
      <c r="G122" s="1" t="inlineStr">
        <is>
          <t>29.5</t>
        </is>
      </c>
      <c r="H122" s="1" t="inlineStr">
        <is>
          <t>86</t>
        </is>
      </c>
      <c r="I122" s="1" t="inlineStr">
        <is>
          <t>62.2</t>
        </is>
      </c>
    </row>
    <row collapsed="false" customFormat="false" customHeight="false" hidden="false" ht="12.1" outlineLevel="0" r="123">
      <c r="A123" s="1" t="inlineStr">
        <is>
          <t>118</t>
        </is>
      </c>
      <c r="B123" s="1" t="inlineStr">
        <is>
          <t>2025-12-13 20:03:22</t>
        </is>
      </c>
      <c r="C123" s="1" t="inlineStr">
        <is>
          <t>2025-12-13 21:23:44</t>
        </is>
      </c>
      <c r="D123" s="1" t="inlineStr">
        <is>
          <t>1h 20m</t>
        </is>
      </c>
      <c r="E123" s="1" t="s">
        <f>=HYPERLINK("https://www.google.com/maps?q=31.269270,74.041817", "31.269270, 74.041817")</f>
      </c>
      <c r="F123" s="1" t="s">
        <f>=HYPERLINK("https://www.google.com/maps?q=30.824070,73.457152", "30.824070, 73.457152")</f>
      </c>
      <c r="G123" s="1" t="inlineStr">
        <is>
          <t>86.35</t>
        </is>
      </c>
      <c r="H123" s="1" t="inlineStr">
        <is>
          <t>97</t>
        </is>
      </c>
      <c r="I123" s="1" t="inlineStr">
        <is>
          <t>64.8</t>
        </is>
      </c>
    </row>
    <row collapsed="false" customFormat="false" customHeight="false" hidden="false" ht="12.1" outlineLevel="0" r="124">
      <c r="A124" s="1" t="inlineStr">
        <is>
          <t>119</t>
        </is>
      </c>
      <c r="B124" s="1" t="inlineStr">
        <is>
          <t>2025-12-13 21:23:54</t>
        </is>
      </c>
      <c r="C124" s="1" t="inlineStr">
        <is>
          <t>2025-12-13 21:23:54</t>
        </is>
      </c>
      <c r="D124" s="1" t="inlineStr">
        <is>
          <t>0m</t>
        </is>
      </c>
      <c r="E124" s="1" t="s">
        <f>=HYPERLINK("https://www.google.com/maps?q=30.824095,73.457187", "30.824095, 73.457187")</f>
      </c>
      <c r="F124" s="1" t="s">
        <f>=HYPERLINK("https://www.google.com/maps?q=30.824095,73.457187", "30.824095, 73.457187")</f>
      </c>
      <c r="G124" s="1" t="inlineStr">
        <is>
          <t>0</t>
        </is>
      </c>
      <c r="H124" s="1" t="inlineStr">
        <is>
          <t>6</t>
        </is>
      </c>
      <c r="I124" s="1" t="inlineStr">
        <is>
          <t>6</t>
        </is>
      </c>
    </row>
    <row collapsed="false" customFormat="false" customHeight="false" hidden="false" ht="12.1" outlineLevel="0" r="125">
      <c r="A125" s="1" t="inlineStr">
        <is>
          <t>120</t>
        </is>
      </c>
      <c r="B125" s="1" t="inlineStr">
        <is>
          <t>2025-12-13 22:00:25</t>
        </is>
      </c>
      <c r="C125" s="1" t="inlineStr">
        <is>
          <t>2025-12-13 22:01:19</t>
        </is>
      </c>
      <c r="D125" s="1" t="inlineStr">
        <is>
          <t>0m</t>
        </is>
      </c>
      <c r="E125" s="1" t="s">
        <f>=HYPERLINK("https://www.google.com/maps?q=30.823997,73.457033", "30.823997, 73.457033")</f>
      </c>
      <c r="F125" s="1" t="s">
        <f>=HYPERLINK("https://www.google.com/maps?q=30.824037,73.455248", "30.824037, 73.455248")</f>
      </c>
      <c r="G125" s="1" t="inlineStr">
        <is>
          <t>0.17</t>
        </is>
      </c>
      <c r="H125" s="1" t="inlineStr">
        <is>
          <t>12</t>
        </is>
      </c>
      <c r="I125" s="1" t="inlineStr">
        <is>
          <t>8.5</t>
        </is>
      </c>
    </row>
    <row collapsed="false" customFormat="false" customHeight="false" hidden="false" ht="12.1" outlineLevel="0" r="126">
      <c r="A126" s="1" t="inlineStr">
        <is>
          <t>121</t>
        </is>
      </c>
      <c r="B126" s="1" t="inlineStr">
        <is>
          <t>2025-12-13 22:04:01</t>
        </is>
      </c>
      <c r="C126" s="1" t="inlineStr">
        <is>
          <t>2025-12-13 22:05:54</t>
        </is>
      </c>
      <c r="D126" s="1" t="inlineStr">
        <is>
          <t>1m</t>
        </is>
      </c>
      <c r="E126" s="1" t="s">
        <f>=HYPERLINK("https://www.google.com/maps?q=30.824035,73.454925", "30.824035, 73.454925")</f>
      </c>
      <c r="F126" s="1" t="s">
        <f>=HYPERLINK("https://www.google.com/maps?q=30.824008,73.454875", "30.824008, 73.454875")</f>
      </c>
      <c r="G126" s="1" t="inlineStr">
        <is>
          <t>0.05</t>
        </is>
      </c>
      <c r="H126" s="1" t="inlineStr">
        <is>
          <t>9</t>
        </is>
      </c>
      <c r="I126" s="1" t="inlineStr">
        <is>
          <t>6.7</t>
        </is>
      </c>
    </row>
    <row collapsed="false" customFormat="false" customHeight="false" hidden="false" ht="12.1" outlineLevel="0" r="127">
      <c r="A127" s="1" t="inlineStr">
        <is>
          <t>122</t>
        </is>
      </c>
      <c r="B127" s="1" t="inlineStr">
        <is>
          <t>2025-12-13 22:08:27</t>
        </is>
      </c>
      <c r="C127" s="1" t="inlineStr">
        <is>
          <t>2025-12-13 22:31:27</t>
        </is>
      </c>
      <c r="D127" s="1" t="inlineStr">
        <is>
          <t>23m</t>
        </is>
      </c>
      <c r="E127" s="1" t="s">
        <f>=HYPERLINK("https://www.google.com/maps?q=30.824040,73.454722", "30.824040, 73.454722")</f>
      </c>
      <c r="F127" s="1" t="s">
        <f>=HYPERLINK("https://www.google.com/maps?q=30.795610,73.457840", "30.795610, 73.457840")</f>
      </c>
      <c r="G127" s="1" t="inlineStr">
        <is>
          <t>7.86</t>
        </is>
      </c>
      <c r="H127" s="1" t="inlineStr">
        <is>
          <t>37</t>
        </is>
      </c>
      <c r="I127" s="1" t="inlineStr">
        <is>
          <t>17.5</t>
        </is>
      </c>
    </row>
    <row collapsed="false" customFormat="false" customHeight="false" hidden="false" ht="12.1" outlineLevel="0" r="128">
      <c r="A128" s="1" t="inlineStr">
        <is>
          <t>123</t>
        </is>
      </c>
      <c r="B128" s="1" t="inlineStr">
        <is>
          <t>2025-12-13 22:32:37</t>
        </is>
      </c>
      <c r="C128" s="1" t="inlineStr">
        <is>
          <t>2025-12-13 22:32:58</t>
        </is>
      </c>
      <c r="D128" s="1" t="inlineStr">
        <is>
          <t>0m</t>
        </is>
      </c>
      <c r="E128" s="1" t="s">
        <f>=HYPERLINK("https://www.google.com/maps?q=30.795517,73.457823", "30.795517, 73.457823")</f>
      </c>
      <c r="F128" s="1" t="s">
        <f>=HYPERLINK("https://www.google.com/maps?q=30.795572,73.457755", "30.795572, 73.457755")</f>
      </c>
      <c r="G128" s="1" t="inlineStr">
        <is>
          <t>0.01</t>
        </is>
      </c>
      <c r="H128" s="1" t="inlineStr">
        <is>
          <t>8</t>
        </is>
      </c>
      <c r="I128" s="1" t="inlineStr">
        <is>
          <t>6.8</t>
        </is>
      </c>
    </row>
    <row collapsed="false" customFormat="false" customHeight="false" hidden="false" ht="12.1" outlineLevel="0" r="129">
      <c r="A129" s="1" t="inlineStr">
        <is>
          <t>124</t>
        </is>
      </c>
      <c r="B129" s="1" t="inlineStr">
        <is>
          <t>2025-12-13 22:34:03</t>
        </is>
      </c>
      <c r="C129" s="1" t="inlineStr">
        <is>
          <t>2025-12-13 22:34:03</t>
        </is>
      </c>
      <c r="D129" s="1" t="inlineStr">
        <is>
          <t>0m</t>
        </is>
      </c>
      <c r="E129" s="1" t="s">
        <f>=HYPERLINK("https://www.google.com/maps?q=30.795613,73.457697", "30.795613, 73.457697")</f>
      </c>
      <c r="F129" s="1" t="s">
        <f>=HYPERLINK("https://www.google.com/maps?q=30.795613,73.457697", "30.795613, 73.457697")</f>
      </c>
      <c r="G129" s="1" t="inlineStr">
        <is>
          <t>0</t>
        </is>
      </c>
      <c r="H129" s="1" t="inlineStr">
        <is>
          <t>6</t>
        </is>
      </c>
      <c r="I129" s="1" t="inlineStr">
        <is>
          <t>6</t>
        </is>
      </c>
    </row>
    <row collapsed="false" customFormat="false" customHeight="false" hidden="false" ht="12.1" outlineLevel="0" r="130">
      <c r="A130" s="1" t="inlineStr">
        <is>
          <t>125</t>
        </is>
      </c>
      <c r="B130" s="1" t="inlineStr">
        <is>
          <t>2025-12-13 22:36:07</t>
        </is>
      </c>
      <c r="C130" s="1" t="inlineStr">
        <is>
          <t>2025-12-13 23:07:19</t>
        </is>
      </c>
      <c r="D130" s="1" t="inlineStr">
        <is>
          <t>31m</t>
        </is>
      </c>
      <c r="E130" s="1" t="s">
        <f>=HYPERLINK("https://www.google.com/maps?q=30.795612,73.457673", "30.795612, 73.457673")</f>
      </c>
      <c r="F130" s="1" t="s">
        <f>=HYPERLINK("https://www.google.com/maps?q=30.819995,73.455013", "30.819995, 73.455013")</f>
      </c>
      <c r="G130" s="1" t="inlineStr">
        <is>
          <t>6.66</t>
        </is>
      </c>
      <c r="H130" s="1" t="inlineStr">
        <is>
          <t>64</t>
        </is>
      </c>
      <c r="I130" s="1" t="inlineStr">
        <is>
          <t>12.1</t>
        </is>
      </c>
    </row>
    <row collapsed="false" customFormat="false" customHeight="false" hidden="false" ht="12.1" outlineLevel="0" r="131">
      <c r="A131" s="1" t="inlineStr">
        <is>
          <t>126</t>
        </is>
      </c>
      <c r="B131" s="1" t="inlineStr">
        <is>
          <t>2025-12-13 23:07:24</t>
        </is>
      </c>
      <c r="C131" s="1" t="inlineStr">
        <is>
          <t>2025-12-13 23:14:59</t>
        </is>
      </c>
      <c r="D131" s="1" t="inlineStr">
        <is>
          <t>7m</t>
        </is>
      </c>
      <c r="E131" s="1" t="s">
        <f>=HYPERLINK("https://www.google.com/maps?q=30.820122,73.454968", "30.820122, 73.454968")</f>
      </c>
      <c r="F131" s="1" t="s">
        <f>=HYPERLINK("https://www.google.com/maps?q=30.822053,73.451242", "30.822053, 73.451242")</f>
      </c>
      <c r="G131" s="1" t="inlineStr">
        <is>
          <t>1.87</t>
        </is>
      </c>
      <c r="H131" s="1" t="inlineStr">
        <is>
          <t>29</t>
        </is>
      </c>
      <c r="I131" s="1" t="inlineStr">
        <is>
          <t>13.5</t>
        </is>
      </c>
    </row>
    <row collapsed="false" customFormat="false" customHeight="false" hidden="false" ht="12.1" outlineLevel="0" r="132">
      <c r="A132" s="1" t="inlineStr">
        <is>
          <t>127</t>
        </is>
      </c>
      <c r="B132" s="1" t="inlineStr">
        <is>
          <t>2025-12-13 23:49:41</t>
        </is>
      </c>
      <c r="C132" s="1" t="inlineStr">
        <is>
          <t>2025-12-13 23:57:14</t>
        </is>
      </c>
      <c r="D132" s="1" t="inlineStr">
        <is>
          <t>7m</t>
        </is>
      </c>
      <c r="E132" s="1" t="s">
        <f>=HYPERLINK("https://www.google.com/maps?q=30.821995,73.451243", "30.821995, 73.451243")</f>
      </c>
      <c r="F132" s="1" t="s">
        <f>=HYPERLINK("https://www.google.com/maps?q=30.805728,73.437652", "30.805728, 73.437652")</f>
      </c>
      <c r="G132" s="1" t="inlineStr">
        <is>
          <t>2.77</t>
        </is>
      </c>
      <c r="H132" s="1" t="inlineStr">
        <is>
          <t>38</t>
        </is>
      </c>
      <c r="I132" s="1" t="inlineStr">
        <is>
          <t>22.1</t>
        </is>
      </c>
    </row>
    <row collapsed="false" customFormat="false" customHeight="false" hidden="false" ht="12.1" outlineLevel="0" r="133">
      <c r="A133" s="1" t="inlineStr">
        <is>
          <t>128</t>
        </is>
      </c>
      <c r="B133" s="1" t="inlineStr">
        <is>
          <t>2025-12-13 23:58:46</t>
        </is>
      </c>
      <c r="C133" s="1" t="inlineStr">
        <is>
          <t>2025-12-13 23:58:46</t>
        </is>
      </c>
      <c r="D133" s="1" t="inlineStr">
        <is>
          <t>0m</t>
        </is>
      </c>
      <c r="E133" s="1" t="s">
        <f>=HYPERLINK("https://www.google.com/maps?q=30.805795,73.437447", "30.805795, 73.437447")</f>
      </c>
      <c r="F133" s="1" t="s">
        <f>=HYPERLINK("https://www.google.com/maps?q=30.805795,73.437447", "30.805795, 73.437447")</f>
      </c>
      <c r="G133" s="1" t="inlineStr">
        <is>
          <t>0</t>
        </is>
      </c>
      <c r="H133" s="1" t="inlineStr">
        <is>
          <t>8</t>
        </is>
      </c>
      <c r="I133" s="1" t="inlineStr">
        <is>
          <t>8</t>
        </is>
      </c>
    </row>
    <row collapsed="false" customFormat="false" customHeight="false" hidden="false" ht="12.1" outlineLevel="0" r="134">
      <c r="A134" s="1" t="inlineStr">
        <is>
          <t>129</t>
        </is>
      </c>
      <c r="B134" s="1" t="inlineStr">
        <is>
          <t>2025-12-14 00:02:46</t>
        </is>
      </c>
      <c r="C134" s="1" t="inlineStr">
        <is>
          <t>2025-12-14 00:03:23</t>
        </is>
      </c>
      <c r="D134" s="1" t="inlineStr">
        <is>
          <t>0m</t>
        </is>
      </c>
      <c r="E134" s="1" t="s">
        <f>=HYPERLINK("https://www.google.com/maps?q=30.805655,73.437518", "30.805655, 73.437518")</f>
      </c>
      <c r="F134" s="1" t="s">
        <f>=HYPERLINK("https://www.google.com/maps?q=30.805603,73.437420", "30.805603, 73.437420")</f>
      </c>
      <c r="G134" s="1" t="inlineStr">
        <is>
          <t>0.02</t>
        </is>
      </c>
      <c r="H134" s="1" t="inlineStr">
        <is>
          <t>7</t>
        </is>
      </c>
      <c r="I134" s="1" t="inlineStr">
        <is>
          <t>6.3</t>
        </is>
      </c>
    </row>
    <row collapsed="false" customFormat="false" customHeight="false" hidden="false" ht="12.1" outlineLevel="0" r="135">
      <c r="A135" s="1" t="inlineStr">
        <is>
          <t>130</t>
        </is>
      </c>
      <c r="B135" s="1" t="inlineStr">
        <is>
          <t>2025-12-14 00:05:43</t>
        </is>
      </c>
      <c r="C135" s="1" t="inlineStr">
        <is>
          <t>2025-12-14 00:05:56</t>
        </is>
      </c>
      <c r="D135" s="1" t="inlineStr">
        <is>
          <t>0m</t>
        </is>
      </c>
      <c r="E135" s="1" t="s">
        <f>=HYPERLINK("https://www.google.com/maps?q=30.805647,73.437480", "30.805647, 73.437480")</f>
      </c>
      <c r="F135" s="1" t="s">
        <f>=HYPERLINK("https://www.google.com/maps?q=30.805645,73.437565", "30.805645, 73.437565")</f>
      </c>
      <c r="G135" s="1" t="inlineStr">
        <is>
          <t>0.01</t>
        </is>
      </c>
      <c r="H135" s="1" t="inlineStr">
        <is>
          <t>8</t>
        </is>
      </c>
      <c r="I135" s="1" t="inlineStr">
        <is>
          <t>7</t>
        </is>
      </c>
    </row>
    <row collapsed="false" customFormat="false" customHeight="false" hidden="false" ht="12.1" outlineLevel="0" r="136">
      <c r="A136" s="1" t="inlineStr">
        <is>
          <t>131</t>
        </is>
      </c>
      <c r="B136" s="1" t="inlineStr">
        <is>
          <t>2025-12-14 00:12:25</t>
        </is>
      </c>
      <c r="C136" s="1" t="inlineStr">
        <is>
          <t>2025-12-14 00:12:25</t>
        </is>
      </c>
      <c r="D136" s="1" t="inlineStr">
        <is>
          <t>0m</t>
        </is>
      </c>
      <c r="E136" s="1" t="s">
        <f>=HYPERLINK("https://www.google.com/maps?q=30.805645,73.437593", "30.805645, 73.437593")</f>
      </c>
      <c r="F136" s="1" t="s">
        <f>=HYPERLINK("https://www.google.com/maps?q=30.805645,73.437593", "30.805645, 73.437593")</f>
      </c>
      <c r="G136" s="1" t="inlineStr">
        <is>
          <t>0</t>
        </is>
      </c>
      <c r="H136" s="1" t="inlineStr">
        <is>
          <t>7</t>
        </is>
      </c>
      <c r="I136" s="1" t="inlineStr">
        <is>
          <t>7</t>
        </is>
      </c>
    </row>
    <row collapsed="false" customFormat="false" customHeight="false" hidden="false" ht="12.1" outlineLevel="0" r="137">
      <c r="A137" s="1" t="inlineStr">
        <is>
          <t>132</t>
        </is>
      </c>
      <c r="B137" s="1" t="inlineStr">
        <is>
          <t>2025-12-14 00:13:37</t>
        </is>
      </c>
      <c r="C137" s="1" t="inlineStr">
        <is>
          <t>2025-12-14 00:43:41</t>
        </is>
      </c>
      <c r="D137" s="1" t="inlineStr">
        <is>
          <t>30m</t>
        </is>
      </c>
      <c r="E137" s="1" t="s">
        <f>=HYPERLINK("https://www.google.com/maps?q=30.805718,73.437635", "30.805718, 73.437635")</f>
      </c>
      <c r="F137" s="1" t="s">
        <f>=HYPERLINK("https://www.google.com/maps?q=30.824158,73.457073", "30.824158, 73.457073")</f>
      </c>
      <c r="G137" s="1" t="inlineStr">
        <is>
          <t>6.85</t>
        </is>
      </c>
      <c r="H137" s="1" t="inlineStr">
        <is>
          <t>46</t>
        </is>
      </c>
      <c r="I137" s="1" t="inlineStr">
        <is>
          <t>12.7</t>
        </is>
      </c>
    </row>
    <row collapsed="false" customFormat="false" customHeight="false" hidden="false" ht="12.1" outlineLevel="0" r="138">
      <c r="A138" s="1" t="inlineStr">
        <is>
          <t>133</t>
        </is>
      </c>
      <c r="B138" s="1" t="inlineStr">
        <is>
          <t>2025-12-14 00:45:28</t>
        </is>
      </c>
      <c r="C138" s="1" t="inlineStr">
        <is>
          <t>2025-12-14 00:45:28</t>
        </is>
      </c>
      <c r="D138" s="1" t="inlineStr">
        <is>
          <t>0m</t>
        </is>
      </c>
      <c r="E138" s="1" t="s">
        <f>=HYPERLINK("https://www.google.com/maps?q=30.824202,73.457057", "30.824202, 73.457057")</f>
      </c>
      <c r="F138" s="1" t="s">
        <f>=HYPERLINK("https://www.google.com/maps?q=30.824202,73.457057", "30.824202, 73.457057")</f>
      </c>
      <c r="G138" s="1" t="inlineStr">
        <is>
          <t>0</t>
        </is>
      </c>
      <c r="H138" s="1" t="inlineStr">
        <is>
          <t>7</t>
        </is>
      </c>
      <c r="I138" s="1" t="inlineStr">
        <is>
          <t>7</t>
        </is>
      </c>
    </row>
    <row collapsed="false" customFormat="false" customHeight="false" hidden="false" ht="12.1" outlineLevel="0" r="139">
      <c r="A139" s="1" t="inlineStr">
        <is>
          <t>134</t>
        </is>
      </c>
      <c r="B139" s="1" t="inlineStr">
        <is>
          <t>2025-12-14 09:55:46</t>
        </is>
      </c>
      <c r="C139" s="1" t="inlineStr">
        <is>
          <t>2025-12-14 10:00:01</t>
        </is>
      </c>
      <c r="D139" s="1" t="inlineStr">
        <is>
          <t>4m</t>
        </is>
      </c>
      <c r="E139" s="1" t="s">
        <f>=HYPERLINK("https://www.google.com/maps?q=30.824132,73.457042", "30.824132, 73.457042")</f>
      </c>
      <c r="F139" s="1" t="s">
        <f>=HYPERLINK("https://www.google.com/maps?q=30.828440,73.451750", "30.828440, 73.451750")</f>
      </c>
      <c r="G139" s="1" t="inlineStr">
        <is>
          <t>1.09</t>
        </is>
      </c>
      <c r="H139" s="1" t="inlineStr">
        <is>
          <t>36</t>
        </is>
      </c>
      <c r="I139" s="1" t="inlineStr">
        <is>
          <t>12.5</t>
        </is>
      </c>
    </row>
    <row collapsed="false" customFormat="false" customHeight="false" hidden="false" ht="12.1" outlineLevel="0" r="140">
      <c r="A140" s="1" t="inlineStr">
        <is>
          <t>135</t>
        </is>
      </c>
      <c r="B140" s="1" t="inlineStr">
        <is>
          <t>2025-12-14 10:01:50</t>
        </is>
      </c>
      <c r="C140" s="1" t="inlineStr">
        <is>
          <t>2025-12-14 10:07:43</t>
        </is>
      </c>
      <c r="D140" s="1" t="inlineStr">
        <is>
          <t>5m</t>
        </is>
      </c>
      <c r="E140" s="1" t="s">
        <f>=HYPERLINK("https://www.google.com/maps?q=30.828287,73.451545", "30.828287, 73.451545")</f>
      </c>
      <c r="F140" s="1" t="s">
        <f>=HYPERLINK("https://www.google.com/maps?q=30.806623,73.442443", "30.806623, 73.442443")</f>
      </c>
      <c r="G140" s="1" t="inlineStr">
        <is>
          <t>3.16</t>
        </is>
      </c>
      <c r="H140" s="1" t="inlineStr">
        <is>
          <t>52</t>
        </is>
      </c>
      <c r="I140" s="1" t="inlineStr">
        <is>
          <t>25.8</t>
        </is>
      </c>
    </row>
    <row collapsed="false" customFormat="false" customHeight="false" hidden="false" ht="12.1" outlineLevel="0" r="141">
      <c r="A141" s="1" t="inlineStr">
        <is>
          <t>136</t>
        </is>
      </c>
      <c r="B141" s="1" t="inlineStr">
        <is>
          <t>2025-12-14 10:10:55</t>
        </is>
      </c>
      <c r="C141" s="1" t="inlineStr">
        <is>
          <t>2025-12-14 10:33:37</t>
        </is>
      </c>
      <c r="D141" s="1" t="inlineStr">
        <is>
          <t>22m</t>
        </is>
      </c>
      <c r="E141" s="1" t="s">
        <f>=HYPERLINK("https://www.google.com/maps?q=30.806508,73.442367", "30.806508, 73.442367")</f>
      </c>
      <c r="F141" s="1" t="s">
        <f>=HYPERLINK("https://www.google.com/maps?q=30.874195,73.607308", "30.874195, 73.607308")</f>
      </c>
      <c r="G141" s="1" t="inlineStr">
        <is>
          <t>18.45</t>
        </is>
      </c>
      <c r="H141" s="1" t="inlineStr">
        <is>
          <t>69</t>
        </is>
      </c>
      <c r="I141" s="1" t="inlineStr">
        <is>
          <t>46.1</t>
        </is>
      </c>
    </row>
    <row collapsed="false" customFormat="false" customHeight="false" hidden="false" ht="12.1" outlineLevel="0" r="142">
      <c r="A142" s="1" t="inlineStr">
        <is>
          <t>137</t>
        </is>
      </c>
      <c r="B142" s="1" t="inlineStr">
        <is>
          <t>2025-12-14 10:36:07</t>
        </is>
      </c>
      <c r="C142" s="1" t="inlineStr">
        <is>
          <t>2025-12-14 11:46:48</t>
        </is>
      </c>
      <c r="D142" s="1" t="inlineStr">
        <is>
          <t>1h 10m</t>
        </is>
      </c>
      <c r="E142" s="1" t="s">
        <f>=HYPERLINK("https://www.google.com/maps?q=30.874360,73.607415", "30.874360, 73.607415")</f>
      </c>
      <c r="F142" s="1" t="s">
        <f>=HYPERLINK("https://www.google.com/maps?q=31.152857,74.113840", "31.152857, 74.113840")</f>
      </c>
      <c r="G142" s="1" t="inlineStr">
        <is>
          <t>61.67</t>
        </is>
      </c>
      <c r="H142" s="1" t="inlineStr">
        <is>
          <t>85</t>
        </is>
      </c>
      <c r="I142" s="1" t="inlineStr">
        <is>
          <t>49.7</t>
        </is>
      </c>
    </row>
    <row collapsed="false" customFormat="false" customHeight="false" hidden="false" ht="12.1" outlineLevel="0" r="143">
      <c r="A143" s="1" t="inlineStr">
        <is>
          <t>138</t>
        </is>
      </c>
      <c r="B143" s="1" t="inlineStr">
        <is>
          <t>2025-12-14 12:03:59</t>
        </is>
      </c>
      <c r="C143" s="1" t="inlineStr">
        <is>
          <t>2025-12-14 13:21:31</t>
        </is>
      </c>
      <c r="D143" s="1" t="inlineStr">
        <is>
          <t>1h 17m</t>
        </is>
      </c>
      <c r="E143" s="1" t="s">
        <f>=HYPERLINK("https://www.google.com/maps?q=31.152808,74.114065", "31.152808, 74.114065")</f>
      </c>
      <c r="F143" s="1" t="s">
        <f>=HYPERLINK("https://www.google.com/maps?q=30.842378,73.523665", "30.842378, 73.523665")</f>
      </c>
      <c r="G143" s="1" t="inlineStr">
        <is>
          <t>71.12</t>
        </is>
      </c>
      <c r="H143" s="1" t="inlineStr">
        <is>
          <t>103</t>
        </is>
      </c>
      <c r="I143" s="1" t="inlineStr">
        <is>
          <t>54.8</t>
        </is>
      </c>
    </row>
    <row collapsed="false" customFormat="false" customHeight="false" hidden="false" ht="12.1" outlineLevel="0" r="144">
      <c r="A144" s="1" t="inlineStr">
        <is>
          <t>139</t>
        </is>
      </c>
      <c r="B144" s="1" t="inlineStr">
        <is>
          <t>2025-12-14 13:47:42</t>
        </is>
      </c>
      <c r="C144" s="1" t="inlineStr">
        <is>
          <t>2025-12-14 14:00:19</t>
        </is>
      </c>
      <c r="D144" s="1" t="inlineStr">
        <is>
          <t>12m</t>
        </is>
      </c>
      <c r="E144" s="1" t="s">
        <f>=HYPERLINK("https://www.google.com/maps?q=30.842438,73.523447", "30.842438, 73.523447")</f>
      </c>
      <c r="F144" s="1" t="s">
        <f>=HYPERLINK("https://www.google.com/maps?q=30.824403,73.457078", "30.824403, 73.457078")</f>
      </c>
      <c r="G144" s="1" t="inlineStr">
        <is>
          <t>7.89</t>
        </is>
      </c>
      <c r="H144" s="1" t="inlineStr">
        <is>
          <t>97</t>
        </is>
      </c>
      <c r="I144" s="1" t="inlineStr">
        <is>
          <t>35.2</t>
        </is>
      </c>
    </row>
    <row collapsed="false" customFormat="false" customHeight="false" hidden="false" ht="12.1" outlineLevel="0" r="145">
      <c r="A145" s="1" t="inlineStr">
        <is>
          <t>140</t>
        </is>
      </c>
      <c r="B145" s="1" t="inlineStr">
        <is>
          <t>2025-12-14 16:42:01</t>
        </is>
      </c>
      <c r="C145" s="1" t="inlineStr">
        <is>
          <t>2025-12-14 17:05:08</t>
        </is>
      </c>
      <c r="D145" s="1" t="inlineStr">
        <is>
          <t>23m</t>
        </is>
      </c>
      <c r="E145" s="1" t="s">
        <f>=HYPERLINK("https://www.google.com/maps?q=30.824297,73.457097", "30.824297, 73.457097")</f>
      </c>
      <c r="F145" s="1" t="s">
        <f>=HYPERLINK("https://www.google.com/maps?q=30.810592,73.449947", "30.810592, 73.449947")</f>
      </c>
      <c r="G145" s="1" t="inlineStr">
        <is>
          <t>4.08</t>
        </is>
      </c>
      <c r="H145" s="1" t="inlineStr">
        <is>
          <t>58</t>
        </is>
      </c>
      <c r="I145" s="1" t="inlineStr">
        <is>
          <t>13.3</t>
        </is>
      </c>
    </row>
    <row collapsed="false" customFormat="false" customHeight="false" hidden="false" ht="12.1" outlineLevel="0" r="146">
      <c r="A146" s="1" t="inlineStr">
        <is>
          <t>141</t>
        </is>
      </c>
      <c r="B146" s="1" t="inlineStr">
        <is>
          <t>2025-12-14 17:06:37</t>
        </is>
      </c>
      <c r="C146" s="1" t="inlineStr">
        <is>
          <t>2025-12-14 17:06:37</t>
        </is>
      </c>
      <c r="D146" s="1" t="inlineStr">
        <is>
          <t>0m</t>
        </is>
      </c>
      <c r="E146" s="1" t="s">
        <f>=HYPERLINK("https://www.google.com/maps?q=30.810613,73.450120", "30.810613, 73.450120")</f>
      </c>
      <c r="F146" s="1" t="s">
        <f>=HYPERLINK("https://www.google.com/maps?q=30.810613,73.450120", "30.810613, 73.450120")</f>
      </c>
      <c r="G146" s="1" t="inlineStr">
        <is>
          <t>0</t>
        </is>
      </c>
      <c r="H146" s="1" t="inlineStr">
        <is>
          <t>8</t>
        </is>
      </c>
      <c r="I146" s="1" t="inlineStr">
        <is>
          <t>8</t>
        </is>
      </c>
    </row>
    <row collapsed="false" customFormat="false" customHeight="false" hidden="false" ht="12.1" outlineLevel="0" r="147">
      <c r="A147" s="1" t="inlineStr">
        <is>
          <t>142</t>
        </is>
      </c>
      <c r="B147" s="1" t="inlineStr">
        <is>
          <t>2025-12-14 17:12:11</t>
        </is>
      </c>
      <c r="C147" s="1" t="inlineStr">
        <is>
          <t>2025-12-14 17:20:47</t>
        </is>
      </c>
      <c r="D147" s="1" t="inlineStr">
        <is>
          <t>8m</t>
        </is>
      </c>
      <c r="E147" s="1" t="s">
        <f>=HYPERLINK("https://www.google.com/maps?q=30.810668,73.449987", "30.810668, 73.449987")</f>
      </c>
      <c r="F147" s="1" t="s">
        <f>=HYPERLINK("https://www.google.com/maps?q=30.824128,73.457205", "30.824128, 73.457205")</f>
      </c>
      <c r="G147" s="1" t="inlineStr">
        <is>
          <t>2.41</t>
        </is>
      </c>
      <c r="H147" s="1" t="inlineStr">
        <is>
          <t>46</t>
        </is>
      </c>
      <c r="I147" s="1" t="inlineStr">
        <is>
          <t>14.2</t>
        </is>
      </c>
    </row>
    <row collapsed="false" customFormat="false" customHeight="false" hidden="false" ht="12.1" outlineLevel="0" r="148">
      <c r="A148" s="1" t="inlineStr">
        <is>
          <t>143</t>
        </is>
      </c>
      <c r="B148" s="1" t="inlineStr">
        <is>
          <t>2025-12-14 17:24:42</t>
        </is>
      </c>
      <c r="C148" s="1" t="inlineStr">
        <is>
          <t>2025-12-14 17:37:58</t>
        </is>
      </c>
      <c r="D148" s="1" t="inlineStr">
        <is>
          <t>13m</t>
        </is>
      </c>
      <c r="E148" s="1" t="s">
        <f>=HYPERLINK("https://www.google.com/maps?q=30.824072,73.457413", "30.824072, 73.457413")</f>
      </c>
      <c r="F148" s="1" t="s">
        <f>=HYPERLINK("https://www.google.com/maps?q=30.804707,73.435893", "30.804707, 73.435893")</f>
      </c>
      <c r="G148" s="1" t="inlineStr">
        <is>
          <t>4.03</t>
        </is>
      </c>
      <c r="H148" s="1" t="inlineStr">
        <is>
          <t>57</t>
        </is>
      </c>
      <c r="I148" s="1" t="inlineStr">
        <is>
          <t>16.2</t>
        </is>
      </c>
    </row>
    <row collapsed="false" customFormat="false" customHeight="false" hidden="false" ht="12.1" outlineLevel="0" r="149">
      <c r="A149" s="1" t="inlineStr">
        <is>
          <t>144</t>
        </is>
      </c>
      <c r="B149" s="1" t="inlineStr">
        <is>
          <t>2025-12-14 17:54:03</t>
        </is>
      </c>
      <c r="C149" s="1" t="inlineStr">
        <is>
          <t>2025-12-14 18:01:33</t>
        </is>
      </c>
      <c r="D149" s="1" t="inlineStr">
        <is>
          <t>7m</t>
        </is>
      </c>
      <c r="E149" s="1" t="s">
        <f>=HYPERLINK("https://www.google.com/maps?q=30.804717,73.435732", "30.804717, 73.435732")</f>
      </c>
      <c r="F149" s="1" t="s">
        <f>=HYPERLINK("https://www.google.com/maps?q=30.808700,73.444670", "30.808700, 73.444670")</f>
      </c>
      <c r="G149" s="1" t="inlineStr">
        <is>
          <t>2.34</t>
        </is>
      </c>
      <c r="H149" s="1" t="inlineStr">
        <is>
          <t>56</t>
        </is>
      </c>
      <c r="I149" s="1" t="inlineStr">
        <is>
          <t>19.2</t>
        </is>
      </c>
    </row>
    <row collapsed="false" customFormat="false" customHeight="false" hidden="false" ht="12.1" outlineLevel="0" r="150">
      <c r="A150" s="1" t="inlineStr">
        <is>
          <t>145</t>
        </is>
      </c>
      <c r="B150" s="1" t="inlineStr">
        <is>
          <t>2025-12-14 18:26:51</t>
        </is>
      </c>
      <c r="C150" s="1" t="inlineStr">
        <is>
          <t>2025-12-14 18:29:19</t>
        </is>
      </c>
      <c r="D150" s="1" t="inlineStr">
        <is>
          <t>2m</t>
        </is>
      </c>
      <c r="E150" s="1" t="s">
        <f>=HYPERLINK("https://www.google.com/maps?q=30.809013,73.444720", "30.809013, 73.444720")</f>
      </c>
      <c r="F150" s="1" t="s">
        <f>=HYPERLINK("https://www.google.com/maps?q=30.810072,73.444788", "30.810072, 73.444788")</f>
      </c>
      <c r="G150" s="1" t="inlineStr">
        <is>
          <t>0.25</t>
        </is>
      </c>
      <c r="H150" s="1" t="inlineStr">
        <is>
          <t>16</t>
        </is>
      </c>
      <c r="I150" s="1" t="inlineStr">
        <is>
          <t>8.1</t>
        </is>
      </c>
    </row>
    <row collapsed="false" customFormat="false" customHeight="false" hidden="false" ht="12.1" outlineLevel="0" r="151">
      <c r="A151" s="1" t="inlineStr">
        <is>
          <t>146</t>
        </is>
      </c>
      <c r="B151" s="1" t="inlineStr">
        <is>
          <t>2025-12-14 18:35:19</t>
        </is>
      </c>
      <c r="C151" s="1" t="inlineStr">
        <is>
          <t>2025-12-14 18:36:38</t>
        </is>
      </c>
      <c r="D151" s="1" t="inlineStr">
        <is>
          <t>1m</t>
        </is>
      </c>
      <c r="E151" s="1" t="s">
        <f>=HYPERLINK("https://www.google.com/maps?q=30.810058,73.444903", "30.810058, 73.444903")</f>
      </c>
      <c r="F151" s="1" t="s">
        <f>=HYPERLINK("https://www.google.com/maps?q=30.810293,73.445370", "30.810293, 73.445370")</f>
      </c>
      <c r="G151" s="1" t="inlineStr">
        <is>
          <t>0.07</t>
        </is>
      </c>
      <c r="H151" s="1" t="inlineStr">
        <is>
          <t>10</t>
        </is>
      </c>
      <c r="I151" s="1" t="inlineStr">
        <is>
          <t>6.9</t>
        </is>
      </c>
    </row>
    <row collapsed="false" customFormat="false" customHeight="false" hidden="false" ht="12.1" outlineLevel="0" r="152">
      <c r="A152" s="1" t="inlineStr">
        <is>
          <t>147</t>
        </is>
      </c>
      <c r="B152" s="1" t="inlineStr">
        <is>
          <t>2025-12-14 19:04:29</t>
        </is>
      </c>
      <c r="C152" s="1" t="inlineStr">
        <is>
          <t>2025-12-14 19:05:19</t>
        </is>
      </c>
      <c r="D152" s="1" t="inlineStr">
        <is>
          <t>0m</t>
        </is>
      </c>
      <c r="E152" s="1" t="s">
        <f>=HYPERLINK("https://www.google.com/maps?q=30.810282,73.445260", "30.810282, 73.445260")</f>
      </c>
      <c r="F152" s="1" t="s">
        <f>=HYPERLINK("https://www.google.com/maps?q=30.809913,73.444627", "30.809913, 73.444627")</f>
      </c>
      <c r="G152" s="1" t="inlineStr">
        <is>
          <t>0.09</t>
        </is>
      </c>
      <c r="H152" s="1" t="inlineStr">
        <is>
          <t>15</t>
        </is>
      </c>
      <c r="I152" s="1" t="inlineStr">
        <is>
          <t>9.1</t>
        </is>
      </c>
    </row>
    <row collapsed="false" customFormat="false" customHeight="false" hidden="false" ht="12.1" outlineLevel="0" r="153">
      <c r="A153" s="1" t="inlineStr">
        <is>
          <t>148</t>
        </is>
      </c>
      <c r="B153" s="1" t="inlineStr">
        <is>
          <t>2025-12-14 19:16:56</t>
        </is>
      </c>
      <c r="C153" s="1" t="inlineStr">
        <is>
          <t>2025-12-14 19:34:30</t>
        </is>
      </c>
      <c r="D153" s="1" t="inlineStr">
        <is>
          <t>17m</t>
        </is>
      </c>
      <c r="E153" s="1" t="s">
        <f>=HYPERLINK("https://www.google.com/maps?q=30.809977,73.444385", "30.809977, 73.444385")</f>
      </c>
      <c r="F153" s="1" t="s">
        <f>=HYPERLINK("https://www.google.com/maps?q=30.824255,73.457055", "30.824255, 73.457055")</f>
      </c>
      <c r="G153" s="1" t="inlineStr">
        <is>
          <t>6.85</t>
        </is>
      </c>
      <c r="H153" s="1" t="inlineStr">
        <is>
          <t>62</t>
        </is>
      </c>
      <c r="I153" s="1" t="inlineStr">
        <is>
          <t>18.6</t>
        </is>
      </c>
    </row>
    <row collapsed="false" customFormat="false" customHeight="false" hidden="false" ht="12.1" outlineLevel="0" r="154">
      <c r="A154" s="1" t="inlineStr">
        <is>
          <t>149</t>
        </is>
      </c>
      <c r="B154" s="1" t="inlineStr">
        <is>
          <t>2025-12-14 23:07:26</t>
        </is>
      </c>
      <c r="C154" s="1" t="inlineStr">
        <is>
          <t>2025-12-14 23:19:36</t>
        </is>
      </c>
      <c r="D154" s="1" t="inlineStr">
        <is>
          <t>12m</t>
        </is>
      </c>
      <c r="E154" s="1" t="s">
        <f>=HYPERLINK("https://www.google.com/maps?q=30.824393,73.457130", "30.824393, 73.457130")</f>
      </c>
      <c r="F154" s="1" t="s">
        <f>=HYPERLINK("https://www.google.com/maps?q=30.811673,73.456370", "30.811673, 73.456370")</f>
      </c>
      <c r="G154" s="1" t="inlineStr">
        <is>
          <t>2.05</t>
        </is>
      </c>
      <c r="H154" s="1" t="inlineStr">
        <is>
          <t>28</t>
        </is>
      </c>
      <c r="I154" s="1" t="inlineStr">
        <is>
          <t>10.7</t>
        </is>
      </c>
    </row>
    <row collapsed="false" customFormat="false" customHeight="false" hidden="false" ht="12.1" outlineLevel="0" r="155">
      <c r="A155" s="1" t="inlineStr">
        <is>
          <t>150</t>
        </is>
      </c>
      <c r="B155" s="1" t="inlineStr">
        <is>
          <t>2025-12-14 23:21:21</t>
        </is>
      </c>
      <c r="C155" s="1" t="inlineStr">
        <is>
          <t>2025-12-14 23:22:52</t>
        </is>
      </c>
      <c r="D155" s="1" t="inlineStr">
        <is>
          <t>1m</t>
        </is>
      </c>
      <c r="E155" s="1" t="s">
        <f>=HYPERLINK("https://www.google.com/maps?q=30.811727,73.456328", "30.811727, 73.456328")</f>
      </c>
      <c r="F155" s="1" t="s">
        <f>=HYPERLINK("https://www.google.com/maps?q=30.811918,73.457098", "30.811918, 73.457098")</f>
      </c>
      <c r="G155" s="1" t="inlineStr">
        <is>
          <t>0.08</t>
        </is>
      </c>
      <c r="H155" s="1" t="inlineStr">
        <is>
          <t>15</t>
        </is>
      </c>
      <c r="I155" s="1" t="inlineStr">
        <is>
          <t>8.3</t>
        </is>
      </c>
    </row>
    <row collapsed="false" customFormat="false" customHeight="false" hidden="false" ht="12.1" outlineLevel="0" r="156">
      <c r="A156" s="1" t="inlineStr">
        <is>
          <t>151</t>
        </is>
      </c>
      <c r="B156" s="1" t="inlineStr">
        <is>
          <t>2025-12-14 23:24:21</t>
        </is>
      </c>
      <c r="C156" s="1" t="inlineStr">
        <is>
          <t>2025-12-14 23:24:34</t>
        </is>
      </c>
      <c r="D156" s="1" t="inlineStr">
        <is>
          <t>0m</t>
        </is>
      </c>
      <c r="E156" s="1" t="s">
        <f>=HYPERLINK("https://www.google.com/maps?q=30.812032,73.457240", "30.812032, 73.457240")</f>
      </c>
      <c r="F156" s="1" t="s">
        <f>=HYPERLINK("https://www.google.com/maps?q=30.812038,73.457137", "30.812038, 73.457137")</f>
      </c>
      <c r="G156" s="1" t="inlineStr">
        <is>
          <t>0.01</t>
        </is>
      </c>
      <c r="H156" s="1" t="inlineStr">
        <is>
          <t>13</t>
        </is>
      </c>
      <c r="I156" s="1" t="inlineStr">
        <is>
          <t>9</t>
        </is>
      </c>
    </row>
    <row collapsed="false" customFormat="false" customHeight="false" hidden="false" ht="12.1" outlineLevel="0" r="157">
      <c r="A157" s="1" t="inlineStr">
        <is>
          <t>152</t>
        </is>
      </c>
      <c r="B157" s="1" t="inlineStr">
        <is>
          <t>2025-12-14 23:26:10</t>
        </is>
      </c>
      <c r="C157" s="1" t="inlineStr">
        <is>
          <t>2025-12-14 23:39:12</t>
        </is>
      </c>
      <c r="D157" s="1" t="inlineStr">
        <is>
          <t>13m</t>
        </is>
      </c>
      <c r="E157" s="1" t="s">
        <f>=HYPERLINK("https://www.google.com/maps?q=30.812045,73.457382", "30.812045, 73.457382")</f>
      </c>
      <c r="F157" s="1" t="s">
        <f>=HYPERLINK("https://www.google.com/maps?q=30.824127,73.455008", "30.824127, 73.455008")</f>
      </c>
      <c r="G157" s="1" t="inlineStr">
        <is>
          <t>3.51</t>
        </is>
      </c>
      <c r="H157" s="1" t="inlineStr">
        <is>
          <t>55</t>
        </is>
      </c>
      <c r="I157" s="1" t="inlineStr">
        <is>
          <t>14</t>
        </is>
      </c>
    </row>
    <row collapsed="false" customFormat="false" customHeight="false" hidden="false" ht="12.1" outlineLevel="0" r="158">
      <c r="A158" s="1" t="inlineStr">
        <is>
          <t>153</t>
        </is>
      </c>
      <c r="B158" s="1" t="inlineStr">
        <is>
          <t>2025-12-15 00:01:17</t>
        </is>
      </c>
      <c r="C158" s="1" t="inlineStr">
        <is>
          <t>2025-12-15 00:03:10</t>
        </is>
      </c>
      <c r="D158" s="1" t="inlineStr">
        <is>
          <t>1m</t>
        </is>
      </c>
      <c r="E158" s="1" t="s">
        <f>=HYPERLINK("https://www.google.com/maps?q=30.824307,73.455140", "30.824307, 73.455140")</f>
      </c>
      <c r="F158" s="1" t="s">
        <f>=HYPERLINK("https://www.google.com/maps?q=30.823897,73.457175", "30.823897, 73.457175")</f>
      </c>
      <c r="G158" s="1" t="inlineStr">
        <is>
          <t>0.28</t>
        </is>
      </c>
      <c r="H158" s="1" t="inlineStr">
        <is>
          <t>14</t>
        </is>
      </c>
      <c r="I158" s="1" t="inlineStr">
        <is>
          <t>9.2</t>
        </is>
      </c>
    </row>
    <row collapsed="false" customFormat="false" customHeight="false" hidden="false" ht="12.1" outlineLevel="0" r="159">
      <c r="A159" s="1" t="inlineStr">
        <is>
          <t>154</t>
        </is>
      </c>
      <c r="B159" s="1" t="inlineStr">
        <is>
          <t>2025-12-15 10:15:55</t>
        </is>
      </c>
      <c r="C159" s="1" t="inlineStr">
        <is>
          <t>2025-12-15 10:29:28</t>
        </is>
      </c>
      <c r="D159" s="1" t="inlineStr">
        <is>
          <t>13m</t>
        </is>
      </c>
      <c r="E159" s="1" t="s">
        <f>=HYPERLINK("https://www.google.com/maps?q=30.824080,73.457093", "30.824080, 73.457093")</f>
      </c>
      <c r="F159" s="1" t="s">
        <f>=HYPERLINK("https://www.google.com/maps?q=30.816123,73.424840", "30.816123, 73.424840")</f>
      </c>
      <c r="G159" s="1" t="inlineStr">
        <is>
          <t>6.14</t>
        </is>
      </c>
      <c r="H159" s="1" t="inlineStr">
        <is>
          <t>56</t>
        </is>
      </c>
      <c r="I159" s="1" t="inlineStr">
        <is>
          <t>22.1</t>
        </is>
      </c>
    </row>
    <row collapsed="false" customFormat="false" customHeight="false" hidden="false" ht="12.1" outlineLevel="0" r="160">
      <c r="A160" s="1" t="inlineStr">
        <is>
          <t>155</t>
        </is>
      </c>
      <c r="B160" s="1" t="inlineStr">
        <is>
          <t>2025-12-15 10:29:34</t>
        </is>
      </c>
      <c r="C160" s="1" t="inlineStr">
        <is>
          <t>2025-12-15 10:29:34</t>
        </is>
      </c>
      <c r="D160" s="1" t="inlineStr">
        <is>
          <t>0m</t>
        </is>
      </c>
      <c r="E160" s="1" t="s">
        <f>=HYPERLINK("https://www.google.com/maps?q=30.816132,73.424648", "30.816132, 73.424648")</f>
      </c>
      <c r="F160" s="1" t="s">
        <f>=HYPERLINK("https://www.google.com/maps?q=30.816132,73.424648", "30.816132, 73.424648")</f>
      </c>
      <c r="G160" s="1" t="inlineStr">
        <is>
          <t>0</t>
        </is>
      </c>
      <c r="H160" s="1" t="inlineStr">
        <is>
          <t>8</t>
        </is>
      </c>
      <c r="I160" s="1" t="inlineStr">
        <is>
          <t>8</t>
        </is>
      </c>
    </row>
    <row collapsed="false" customFormat="false" customHeight="false" hidden="false" ht="12.1" outlineLevel="0" r="161">
      <c r="A161" s="1" t="inlineStr">
        <is>
          <t>156</t>
        </is>
      </c>
      <c r="B161" s="1" t="inlineStr">
        <is>
          <t>2025-12-15 10:57:10</t>
        </is>
      </c>
      <c r="C161" s="1" t="inlineStr">
        <is>
          <t>2025-12-15 11:17:21</t>
        </is>
      </c>
      <c r="D161" s="1" t="inlineStr">
        <is>
          <t>20m</t>
        </is>
      </c>
      <c r="E161" s="1" t="s">
        <f>=HYPERLINK("https://www.google.com/maps?q=30.816120,73.424658", "30.816120, 73.424658")</f>
      </c>
      <c r="F161" s="1" t="s">
        <f>=HYPERLINK("https://www.google.com/maps?q=30.826163,73.464557", "30.826163, 73.464557")</f>
      </c>
      <c r="G161" s="1" t="inlineStr">
        <is>
          <t>10.02</t>
        </is>
      </c>
      <c r="H161" s="1" t="inlineStr">
        <is>
          <t>61</t>
        </is>
      </c>
      <c r="I161" s="1" t="inlineStr">
        <is>
          <t>25.8</t>
        </is>
      </c>
    </row>
    <row collapsed="false" customFormat="false" customHeight="false" hidden="false" ht="12.1" outlineLevel="0" r="162">
      <c r="A162" s="1" t="inlineStr">
        <is>
          <t>157</t>
        </is>
      </c>
      <c r="B162" s="1" t="inlineStr">
        <is>
          <t>2025-12-15 11:57:30</t>
        </is>
      </c>
      <c r="C162" s="1" t="inlineStr">
        <is>
          <t>2025-12-15 11:57:52</t>
        </is>
      </c>
      <c r="D162" s="1" t="inlineStr">
        <is>
          <t>0m</t>
        </is>
      </c>
      <c r="E162" s="1" t="s">
        <f>=HYPERLINK("https://www.google.com/maps?q=30.826133,73.464600", "30.826133, 73.464600")</f>
      </c>
      <c r="F162" s="1" t="s">
        <f>=HYPERLINK("https://www.google.com/maps?q=30.826170,73.464688", "30.826170, 73.464688")</f>
      </c>
      <c r="G162" s="1" t="inlineStr">
        <is>
          <t>0.02</t>
        </is>
      </c>
      <c r="H162" s="1" t="inlineStr">
        <is>
          <t>9</t>
        </is>
      </c>
      <c r="I162" s="1" t="inlineStr">
        <is>
          <t>7.7</t>
        </is>
      </c>
    </row>
    <row collapsed="false" customFormat="false" customHeight="false" hidden="false" ht="12.1" outlineLevel="0" r="163">
      <c r="A163" s="1" t="inlineStr">
        <is>
          <t>158</t>
        </is>
      </c>
      <c r="B163" s="1" t="inlineStr">
        <is>
          <t>2025-12-15 12:37:59</t>
        </is>
      </c>
      <c r="C163" s="1" t="inlineStr">
        <is>
          <t>2025-12-15 12:49:15</t>
        </is>
      </c>
      <c r="D163" s="1" t="inlineStr">
        <is>
          <t>11m</t>
        </is>
      </c>
      <c r="E163" s="1" t="s">
        <f>=HYPERLINK("https://www.google.com/maps?q=30.826157,73.464782", "30.826157, 73.464782")</f>
      </c>
      <c r="F163" s="1" t="s">
        <f>=HYPERLINK("https://www.google.com/maps?q=30.808040,73.448418", "30.808040, 73.448418")</f>
      </c>
      <c r="G163" s="1" t="inlineStr">
        <is>
          <t>3.98</t>
        </is>
      </c>
      <c r="H163" s="1" t="inlineStr">
        <is>
          <t>46</t>
        </is>
      </c>
      <c r="I163" s="1" t="inlineStr">
        <is>
          <t>17.7</t>
        </is>
      </c>
    </row>
    <row collapsed="false" customFormat="false" customHeight="false" hidden="false" ht="12.1" outlineLevel="0" r="164">
      <c r="A164" s="1" t="inlineStr">
        <is>
          <t>159</t>
        </is>
      </c>
      <c r="B164" s="1" t="inlineStr">
        <is>
          <t>2025-12-15 12:53:45</t>
        </is>
      </c>
      <c r="C164" s="1" t="inlineStr">
        <is>
          <t>2025-12-15 12:55:20</t>
        </is>
      </c>
      <c r="D164" s="1" t="inlineStr">
        <is>
          <t>1m</t>
        </is>
      </c>
      <c r="E164" s="1" t="s">
        <f>=HYPERLINK("https://www.google.com/maps?q=30.808067,73.448363", "30.808067, 73.448363")</f>
      </c>
      <c r="F164" s="1" t="s">
        <f>=HYPERLINK("https://www.google.com/maps?q=30.809415,73.449395", "30.809415, 73.449395")</f>
      </c>
      <c r="G164" s="1" t="inlineStr">
        <is>
          <t>0.49</t>
        </is>
      </c>
      <c r="H164" s="1" t="inlineStr">
        <is>
          <t>33</t>
        </is>
      </c>
      <c r="I164" s="1" t="inlineStr">
        <is>
          <t>17.1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2025-12-15T08:11:13.00Z</dcterms:created>
  <dc:title/>
  <dc:subject/>
  <dc:creator/>
  <dc:description/>
  <cp:revision>0</cp:revision>
</cp:coreProperties>
</file>